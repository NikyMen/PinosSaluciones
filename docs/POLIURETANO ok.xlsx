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inosolucionestecnicas733.sharepoint.com/sites/PINOSolucionesTcnicas/Documentos compartidos/COTIZACIONES/COT_-ANALISIS GENERALES/"/>
    </mc:Choice>
  </mc:AlternateContent>
  <xr:revisionPtr revIDLastSave="603" documentId="13_ncr:1_{C7904EE6-AC75-44F1-9976-DD34548313CA}" xr6:coauthVersionLast="47" xr6:coauthVersionMax="47" xr10:uidLastSave="{57451684-68DC-4024-BBCE-B80E6ABEEF5B}"/>
  <bookViews>
    <workbookView xWindow="-108" yWindow="-108" windowWidth="23256" windowHeight="12456" xr2:uid="{00000000-000D-0000-FFFF-FFFF00000000}"/>
  </bookViews>
  <sheets>
    <sheet name="Análisis de precios" sheetId="8" r:id="rId1"/>
    <sheet name="Cascada" sheetId="2" r:id="rId2"/>
    <sheet name="Precio" sheetId="14" r:id="rId3"/>
    <sheet name="Programa de trabajo" sheetId="15" r:id="rId4"/>
    <sheet name="Insumos" sheetId="7" r:id="rId5"/>
    <sheet name="Tabla de precios por m2 y km" sheetId="16" r:id="rId6"/>
  </sheets>
  <definedNames>
    <definedName name="_xlnm._FilterDatabase" localSheetId="0" hidden="1">'Análisis de precios'!$A$10:$Q$10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  <c r="F34" i="2"/>
  <c r="F26" i="2"/>
  <c r="E13" i="8"/>
  <c r="E12" i="8"/>
  <c r="F14" i="8"/>
  <c r="E13" i="7"/>
  <c r="O15" i="8"/>
  <c r="G15" i="8"/>
  <c r="F13" i="7"/>
  <c r="E11" i="15"/>
  <c r="E11" i="14"/>
  <c r="N15" i="8" l="1"/>
  <c r="O13" i="8"/>
  <c r="N13" i="8"/>
  <c r="N14" i="8"/>
  <c r="O14" i="8"/>
  <c r="P15" i="8" l="1"/>
  <c r="P13" i="8"/>
  <c r="P14" i="8"/>
  <c r="G28" i="2"/>
  <c r="G12" i="2" l="1"/>
  <c r="G14" i="2"/>
  <c r="G14" i="8"/>
  <c r="R13" i="8"/>
  <c r="S13" i="8" s="1"/>
  <c r="N12" i="8" l="1"/>
  <c r="R12" i="8" l="1"/>
  <c r="S12" i="8" s="1"/>
  <c r="O12" i="8"/>
  <c r="P12" i="8" l="1"/>
  <c r="G12" i="8"/>
  <c r="G13" i="8"/>
  <c r="G11" i="8" l="1"/>
  <c r="G13" i="2"/>
  <c r="P16" i="8"/>
  <c r="H34" i="2"/>
  <c r="H18" i="2"/>
  <c r="H19" i="2"/>
  <c r="H20" i="2"/>
  <c r="H21" i="2"/>
  <c r="H22" i="2"/>
  <c r="H23" i="2"/>
  <c r="H24" i="2"/>
  <c r="H25" i="2"/>
  <c r="H26" i="2"/>
  <c r="H28" i="2"/>
  <c r="H29" i="2"/>
  <c r="H30" i="2"/>
  <c r="H31" i="2"/>
  <c r="H32" i="2"/>
  <c r="H33" i="2"/>
  <c r="H35" i="2"/>
  <c r="H37" i="2"/>
  <c r="H38" i="2"/>
  <c r="H39" i="2"/>
  <c r="H41" i="2"/>
  <c r="H42" i="2"/>
  <c r="H43" i="2"/>
  <c r="H44" i="2"/>
  <c r="H45" i="2"/>
  <c r="H46" i="2"/>
  <c r="H47" i="2"/>
  <c r="H50" i="2"/>
  <c r="H51" i="2"/>
  <c r="H52" i="2"/>
  <c r="H53" i="2"/>
  <c r="H54" i="2"/>
  <c r="H55" i="2"/>
  <c r="H56" i="2"/>
  <c r="H57" i="2"/>
  <c r="H58" i="2"/>
  <c r="H59" i="2"/>
  <c r="H60" i="2"/>
  <c r="H17" i="2"/>
  <c r="H11" i="8" l="1"/>
  <c r="E12" i="7" s="1"/>
  <c r="G12" i="7" s="1"/>
  <c r="E11" i="7" l="1"/>
  <c r="G11" i="7" s="1"/>
  <c r="H16" i="8"/>
  <c r="G48" i="2"/>
  <c r="G13" i="7" l="1"/>
  <c r="E14" i="7"/>
  <c r="G14" i="7" s="1"/>
  <c r="G15" i="7" s="1"/>
  <c r="H48" i="2"/>
  <c r="H16" i="2" s="1"/>
  <c r="H14" i="2"/>
  <c r="H13" i="2" l="1"/>
  <c r="H12" i="2"/>
  <c r="H11" i="2" l="1"/>
  <c r="H62" i="2" l="1"/>
  <c r="H65" i="2" s="1"/>
  <c r="H64" i="2" l="1"/>
  <c r="H67" i="2" s="1"/>
  <c r="H71" i="2" s="1"/>
  <c r="H70" i="2" l="1"/>
  <c r="H69" i="2" s="1"/>
  <c r="H73" i="2" s="1"/>
  <c r="H76" i="2" l="1"/>
  <c r="H81" i="2"/>
  <c r="H80" i="2" l="1"/>
  <c r="H75" i="2"/>
  <c r="H78" i="2" s="1"/>
  <c r="H83" i="2" l="1"/>
  <c r="H85" i="2" s="1"/>
  <c r="H86" i="2" s="1"/>
  <c r="F11" i="14" l="1"/>
  <c r="G11" i="14" s="1"/>
  <c r="G12" i="14" s="1"/>
</calcChain>
</file>

<file path=xl/sharedStrings.xml><?xml version="1.0" encoding="utf-8"?>
<sst xmlns="http://schemas.openxmlformats.org/spreadsheetml/2006/main" count="258" uniqueCount="128">
  <si>
    <t xml:space="preserve">CLIENTE </t>
  </si>
  <si>
    <t xml:space="preserve">ANALISIS GENRAL DE PRECIOS POLIURETANO - PINO SOLUCIONES TECNICAS </t>
  </si>
  <si>
    <t>OBRA:</t>
  </si>
  <si>
    <t xml:space="preserve"> APLICACIÓN DE ESPUMA DE POLIURETANO - MENSUAL DE PINO </t>
  </si>
  <si>
    <t>FECHA:</t>
  </si>
  <si>
    <t>CONTACTO:</t>
  </si>
  <si>
    <t xml:space="preserve">PINO SOLUCUIONES TECNICAS </t>
  </si>
  <si>
    <t>ANÁLISIS DE PRECIOS</t>
  </si>
  <si>
    <t>RUBRO</t>
  </si>
  <si>
    <t>ÍTEM</t>
  </si>
  <si>
    <t>DENOMINACIÓN</t>
  </si>
  <si>
    <t>UNIDAD</t>
  </si>
  <si>
    <t>CANTIDAD</t>
  </si>
  <si>
    <t>PRECIO UNITARIO</t>
  </si>
  <si>
    <t>PRECIO PARCIAL</t>
  </si>
  <si>
    <t>PRECIO RUBRO</t>
  </si>
  <si>
    <t>% ITEM</t>
  </si>
  <si>
    <t>% RUBRO</t>
  </si>
  <si>
    <t>Cantidad parcial</t>
  </si>
  <si>
    <t>Precio unitario</t>
  </si>
  <si>
    <t>Precio parcial</t>
  </si>
  <si>
    <t>2.1.</t>
  </si>
  <si>
    <t>APLICACIÓN DE ESPUMA DE POLIURETANO EN TODA LA SUPERFICIE</t>
  </si>
  <si>
    <t>M2</t>
  </si>
  <si>
    <t>PERSONAS</t>
  </si>
  <si>
    <t>DIAS</t>
  </si>
  <si>
    <t xml:space="preserve">DIAS DE TRABAJO </t>
  </si>
  <si>
    <t>MO</t>
  </si>
  <si>
    <t xml:space="preserve">Oficial aplicador </t>
  </si>
  <si>
    <t>hs</t>
  </si>
  <si>
    <t>Ayudante</t>
  </si>
  <si>
    <t>MAT</t>
  </si>
  <si>
    <t>Espuma Poliuretano POLIRESINAS x kg</t>
  </si>
  <si>
    <t>Kg</t>
  </si>
  <si>
    <t>ITEM</t>
  </si>
  <si>
    <t>DENOMINACION</t>
  </si>
  <si>
    <t>PRECIO UNIT SIN IVA</t>
  </si>
  <si>
    <t>PRECIO PARCIAL SIN IVA</t>
  </si>
  <si>
    <t>1</t>
  </si>
  <si>
    <t>COSTO - COSTO</t>
  </si>
  <si>
    <t>MATERIALES</t>
  </si>
  <si>
    <t>GL</t>
  </si>
  <si>
    <t>2</t>
  </si>
  <si>
    <t>MANO DE OBRA</t>
  </si>
  <si>
    <t>3</t>
  </si>
  <si>
    <t>EQUIPOS</t>
  </si>
  <si>
    <t>GASTOS GENERALES DIRECTOS</t>
  </si>
  <si>
    <t>Sueldos / Honorarios de Dirección de Obra</t>
  </si>
  <si>
    <t xml:space="preserve">Mes </t>
  </si>
  <si>
    <t>Viáticos de Dirección de Obra</t>
  </si>
  <si>
    <t xml:space="preserve">Dia </t>
  </si>
  <si>
    <t>Alojamiento para Dirección de Obra</t>
  </si>
  <si>
    <t>Combustible para movilidad de Dirección de Obra</t>
  </si>
  <si>
    <t>Km</t>
  </si>
  <si>
    <t>Mantenimiento vehicular de Dirección de Obra</t>
  </si>
  <si>
    <t xml:space="preserve">Km </t>
  </si>
  <si>
    <t>Pasajes para Dirección de Obra</t>
  </si>
  <si>
    <t>U</t>
  </si>
  <si>
    <t>Gastos varios de movilidad -Estacionamiento, peajes, etc-</t>
  </si>
  <si>
    <t>Librería</t>
  </si>
  <si>
    <t>Seguros para Dirección de Obra</t>
  </si>
  <si>
    <t>Indumentaria y EPP para Dirección de Obra</t>
  </si>
  <si>
    <t>JUEGO</t>
  </si>
  <si>
    <t>Viáticos del personal operativo</t>
  </si>
  <si>
    <t>DIA</t>
  </si>
  <si>
    <t>Alojamiento para personal operativo</t>
  </si>
  <si>
    <t>Combustible para movilidad de personal operativo</t>
  </si>
  <si>
    <t>KM</t>
  </si>
  <si>
    <t>Mantenimiento vehicular para personal operativo</t>
  </si>
  <si>
    <t xml:space="preserve">KM </t>
  </si>
  <si>
    <t>Permiso uso de vereda</t>
  </si>
  <si>
    <t>Seguros para el personal operativo</t>
  </si>
  <si>
    <t>MES</t>
  </si>
  <si>
    <t>Indumentaria y EPP para el personal operativo</t>
  </si>
  <si>
    <t>Programa de Higiene y Seguridad</t>
  </si>
  <si>
    <t>Sueldos / Honorarios de Resposable de Higiene y Seguridad</t>
  </si>
  <si>
    <t>Elementos de señalización</t>
  </si>
  <si>
    <t>Fletes de materiales</t>
  </si>
  <si>
    <t>Viáticos de chóferes</t>
  </si>
  <si>
    <t xml:space="preserve">DIA </t>
  </si>
  <si>
    <t>Alojamiento de chóferes</t>
  </si>
  <si>
    <t>Mantenimiento vehicular para personal de compras</t>
  </si>
  <si>
    <t>Pasajes para personal de compras</t>
  </si>
  <si>
    <t>Impuesto al cheque</t>
  </si>
  <si>
    <t>Sueldo / Honorarios de Pañolero</t>
  </si>
  <si>
    <t>Viáticos de Pañolero</t>
  </si>
  <si>
    <t>Alojamiento para Pañolero</t>
  </si>
  <si>
    <t>Gastos de movilidad de Pañolero</t>
  </si>
  <si>
    <t>Sellados</t>
  </si>
  <si>
    <t>Garantías para la Oferta</t>
  </si>
  <si>
    <t>Garantías para la Ejecución</t>
  </si>
  <si>
    <t>Fondo de Reparo</t>
  </si>
  <si>
    <t>Impresiones y Librería para presentación de ofertas</t>
  </si>
  <si>
    <t xml:space="preserve">Representacion Tecnica </t>
  </si>
  <si>
    <t>COSTO</t>
  </si>
  <si>
    <t>4</t>
  </si>
  <si>
    <t>GASTOS GENERALES INDIRECTOS</t>
  </si>
  <si>
    <t>%</t>
  </si>
  <si>
    <t>5</t>
  </si>
  <si>
    <t>SUB TOTAL 1</t>
  </si>
  <si>
    <t>6</t>
  </si>
  <si>
    <t>BENEFICIOS</t>
  </si>
  <si>
    <t>COSTO FINANCIERO</t>
  </si>
  <si>
    <t>7</t>
  </si>
  <si>
    <t>SUB TOTAL 2</t>
  </si>
  <si>
    <t>8</t>
  </si>
  <si>
    <t>IMPUESTOS</t>
  </si>
  <si>
    <t xml:space="preserve">INGRESOS BRUTOS </t>
  </si>
  <si>
    <t>SUB TOTAL 3</t>
  </si>
  <si>
    <t>IVA</t>
  </si>
  <si>
    <t>9</t>
  </si>
  <si>
    <t>PRECIO</t>
  </si>
  <si>
    <t xml:space="preserve">TOTAL </t>
  </si>
  <si>
    <r>
      <t>Objeto:</t>
    </r>
    <r>
      <rPr>
        <sz val="8"/>
        <color theme="1"/>
        <rFont val="Arial"/>
        <family val="2"/>
      </rPr>
      <t xml:space="preserve"> Provisión de materiales, herramientas, equipos y mano de obra calificada para la ejecución de trabajos de aislamiento térmico proyectado en el interior de vivienda particular.</t>
    </r>
  </si>
  <si>
    <t>Alcance del servicio:</t>
  </si>
  <si>
    <t>El presente presupuesto contempla la aplicación de aislamiento térmico mediante sistema proyectado (poliuretano expandido ), considerando 2,5 cm de espesor:</t>
  </si>
  <si>
    <t>Lugar de obra: Vivienda particular -</t>
  </si>
  <si>
    <t xml:space="preserve">Importante: A la hora de la aplicación el cliente sera resonsable de retirar el cielorraso y el aislante, para de esta manera ralizar una aplicación optima. </t>
  </si>
  <si>
    <r>
      <t>Plazo estimado de ejecución:</t>
    </r>
    <r>
      <rPr>
        <sz val="8"/>
        <color theme="1"/>
        <rFont val="Arial"/>
        <family val="2"/>
      </rPr>
      <t xml:space="preserve"> 2 días corridos, sujeto a condiciones climáticas y logísticas favorables.</t>
    </r>
  </si>
  <si>
    <t xml:space="preserve">Forma de pago: A la aprobacion del presupuesto se abonara el 50% del total, saldo a 30dias sin incremento. </t>
  </si>
  <si>
    <t xml:space="preserve">24 DIAS </t>
  </si>
  <si>
    <t>Film polietileno negro 200 micrones (2x50 m)</t>
  </si>
  <si>
    <t>rollo</t>
  </si>
  <si>
    <t>km</t>
  </si>
  <si>
    <t>m2</t>
  </si>
  <si>
    <t>dias</t>
  </si>
  <si>
    <t>Mano de Obra y Materiales con facturación</t>
  </si>
  <si>
    <t>Mano de Obra y Materiales sin facturación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</si>
</sst>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&quot;$&quot;\ #,##0.00"/>
    <numFmt numFmtId="166" formatCode="dd/mm/yyyy;@"/>
    <numFmt numFmtId="167" formatCode="_-* #,##0.00\ &quot;Pts&quot;_-;\-* #,##0.00\ &quot;Pts&quot;_-;_-* &quot;-&quot;??\ &quot;Pts&quot;_-;_-@_-"/>
    <numFmt numFmtId="168" formatCode="_ [$€-2]\ * #,##0.00_ ;_ [$€-2]\ * \-#,##0.00_ ;_ [$€-2]\ * &quot;-&quot;??_ "/>
    <numFmt numFmtId="169" formatCode="#.00"/>
    <numFmt numFmtId="170" formatCode="&quot;$&quot;#.00"/>
    <numFmt numFmtId="171" formatCode="\$#,##0\ ;\(\$#,##0\)"/>
    <numFmt numFmtId="172" formatCode="0.0"/>
    <numFmt numFmtId="173" formatCode="_ * #,##0.00_ ;_ * \-#,##0.00_ ;_ * &quot;-&quot;??_ ;_ @_ "/>
    <numFmt numFmtId="174" formatCode="0.000"/>
  </numFmts>
  <fonts count="20" x14ac:knownFonts="1">
    <font>
      <sz val="8"/>
      <color theme="1"/>
      <name val="Arial"/>
      <family val="2"/>
    </font>
    <font>
      <sz val="16"/>
      <color indexed="48"/>
      <name val="Times New Roman"/>
      <family val="1"/>
    </font>
    <font>
      <sz val="9"/>
      <color indexed="4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"/>
      <color indexed="8"/>
      <name val="Courier"/>
    </font>
    <font>
      <b/>
      <sz val="1"/>
      <color indexed="8"/>
      <name val="Courier"/>
    </font>
    <font>
      <i/>
      <sz val="1"/>
      <color indexed="8"/>
      <name val="Courie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2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>
      <protection locked="0"/>
    </xf>
    <xf numFmtId="0" fontId="11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0" fontId="9" fillId="0" borderId="0">
      <protection locked="0"/>
    </xf>
    <xf numFmtId="0" fontId="12" fillId="0" borderId="0">
      <protection locked="0"/>
    </xf>
    <xf numFmtId="168" fontId="5" fillId="0" borderId="0" applyFont="0" applyFill="0" applyBorder="0" applyAlignment="0" applyProtection="0"/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8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3" fillId="0" borderId="0">
      <protection locked="0"/>
    </xf>
    <xf numFmtId="0" fontId="5" fillId="0" borderId="0" applyFont="0" applyFill="0" applyBorder="0" applyAlignment="0" applyProtection="0"/>
    <xf numFmtId="169" fontId="8" fillId="0" borderId="0">
      <protection locked="0"/>
    </xf>
    <xf numFmtId="169" fontId="11" fillId="0" borderId="0">
      <protection locked="0"/>
    </xf>
    <xf numFmtId="4" fontId="8" fillId="0" borderId="0">
      <protection locked="0"/>
    </xf>
    <xf numFmtId="4" fontId="11" fillId="0" borderId="0">
      <protection locked="0"/>
    </xf>
    <xf numFmtId="173" fontId="1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70" fontId="8" fillId="0" borderId="0">
      <protection locked="0"/>
    </xf>
    <xf numFmtId="170" fontId="11" fillId="0" borderId="0">
      <protection locked="0"/>
    </xf>
    <xf numFmtId="171" fontId="5" fillId="0" borderId="0" applyFont="0" applyFill="0" applyBorder="0" applyAlignment="0" applyProtection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44" fontId="14" fillId="0" borderId="0" applyFont="0" applyFill="0" applyBorder="0" applyAlignment="0" applyProtection="0"/>
  </cellStyleXfs>
  <cellXfs count="84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0" fontId="4" fillId="0" borderId="0" xfId="43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vertical="center"/>
    </xf>
    <xf numFmtId="10" fontId="14" fillId="0" borderId="0" xfId="43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0" fontId="17" fillId="0" borderId="0" xfId="4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14" fillId="0" borderId="0" xfId="43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 vertical="center" indent="2"/>
    </xf>
    <xf numFmtId="165" fontId="3" fillId="4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72" fontId="3" fillId="3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readingOrder="1"/>
    </xf>
    <xf numFmtId="2" fontId="3" fillId="3" borderId="0" xfId="0" applyNumberFormat="1" applyFont="1" applyFill="1" applyAlignment="1" applyProtection="1">
      <alignment horizontal="center" vertical="center" readingOrder="1"/>
      <protection locked="0"/>
    </xf>
    <xf numFmtId="165" fontId="3" fillId="3" borderId="0" xfId="0" applyNumberFormat="1" applyFont="1" applyFill="1" applyAlignment="1" applyProtection="1">
      <alignment horizontal="center" vertical="center"/>
      <protection locked="0"/>
    </xf>
    <xf numFmtId="165" fontId="3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3" fillId="0" borderId="1" xfId="0" applyFont="1" applyBorder="1" applyAlignment="1">
      <alignment horizontal="center" vertical="center"/>
    </xf>
    <xf numFmtId="44" fontId="0" fillId="0" borderId="0" xfId="52" applyFont="1" applyFill="1" applyAlignment="1">
      <alignment horizontal="center" vertical="center"/>
    </xf>
    <xf numFmtId="0" fontId="3" fillId="6" borderId="1" xfId="0" applyFont="1" applyFill="1" applyBorder="1"/>
    <xf numFmtId="0" fontId="17" fillId="0" borderId="0" xfId="0" applyFont="1"/>
    <xf numFmtId="0" fontId="18" fillId="0" borderId="1" xfId="0" applyFont="1" applyBorder="1" applyAlignment="1">
      <alignment horizontal="center" vertical="center"/>
    </xf>
    <xf numFmtId="2" fontId="3" fillId="3" borderId="0" xfId="0" applyNumberFormat="1" applyFont="1" applyFill="1" applyAlignment="1">
      <alignment horizontal="left" vertical="center" wrapText="1"/>
    </xf>
    <xf numFmtId="1" fontId="18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165" fontId="17" fillId="0" borderId="1" xfId="0" applyNumberFormat="1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7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readingOrder="1"/>
    </xf>
    <xf numFmtId="2" fontId="3" fillId="0" borderId="1" xfId="0" applyNumberFormat="1" applyFont="1" applyBorder="1" applyAlignment="1" applyProtection="1">
      <alignment horizontal="center" vertical="center" readingOrder="1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165" fontId="17" fillId="0" borderId="3" xfId="0" applyNumberFormat="1" applyFont="1" applyBorder="1"/>
    <xf numFmtId="174" fontId="0" fillId="0" borderId="0" xfId="0" applyNumberFormat="1" applyAlignment="1">
      <alignment horizontal="center"/>
    </xf>
    <xf numFmtId="0" fontId="0" fillId="0" borderId="0" xfId="0" applyAlignment="1">
      <alignment horizontal="right" vertical="center"/>
    </xf>
    <xf numFmtId="0" fontId="1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53">
    <cellStyle name="Cabecera 1" xfId="1" xr:uid="{00000000-0005-0000-0000-000000000000}"/>
    <cellStyle name="Cabecera 2" xfId="2" xr:uid="{00000000-0005-0000-0000-000001000000}"/>
    <cellStyle name="Dia" xfId="3" xr:uid="{00000000-0005-0000-0000-000003000000}"/>
    <cellStyle name="Dia 2" xfId="4" xr:uid="{00000000-0005-0000-0000-000004000000}"/>
    <cellStyle name="Encabez1" xfId="5" xr:uid="{00000000-0005-0000-0000-000005000000}"/>
    <cellStyle name="Encabez1 2" xfId="6" xr:uid="{00000000-0005-0000-0000-000006000000}"/>
    <cellStyle name="Encabez2" xfId="7" xr:uid="{00000000-0005-0000-0000-000007000000}"/>
    <cellStyle name="Encabez2 2" xfId="8" xr:uid="{00000000-0005-0000-0000-000008000000}"/>
    <cellStyle name="Euro" xfId="9" xr:uid="{00000000-0005-0000-0000-000009000000}"/>
    <cellStyle name="F2" xfId="10" xr:uid="{00000000-0005-0000-0000-00000A000000}"/>
    <cellStyle name="F2 2" xfId="11" xr:uid="{00000000-0005-0000-0000-00000B000000}"/>
    <cellStyle name="F3" xfId="12" xr:uid="{00000000-0005-0000-0000-00000C000000}"/>
    <cellStyle name="F3 2" xfId="13" xr:uid="{00000000-0005-0000-0000-00000D000000}"/>
    <cellStyle name="F4" xfId="14" xr:uid="{00000000-0005-0000-0000-00000E000000}"/>
    <cellStyle name="F4 2" xfId="15" xr:uid="{00000000-0005-0000-0000-00000F000000}"/>
    <cellStyle name="F5" xfId="16" xr:uid="{00000000-0005-0000-0000-000010000000}"/>
    <cellStyle name="F5 2" xfId="17" xr:uid="{00000000-0005-0000-0000-000011000000}"/>
    <cellStyle name="F6" xfId="18" xr:uid="{00000000-0005-0000-0000-000012000000}"/>
    <cellStyle name="F6 2" xfId="19" xr:uid="{00000000-0005-0000-0000-000013000000}"/>
    <cellStyle name="F7" xfId="20" xr:uid="{00000000-0005-0000-0000-000014000000}"/>
    <cellStyle name="F7 2" xfId="21" xr:uid="{00000000-0005-0000-0000-000015000000}"/>
    <cellStyle name="F8" xfId="22" xr:uid="{00000000-0005-0000-0000-000016000000}"/>
    <cellStyle name="F8 2" xfId="23" xr:uid="{00000000-0005-0000-0000-000017000000}"/>
    <cellStyle name="Fecha" xfId="24" xr:uid="{00000000-0005-0000-0000-000018000000}"/>
    <cellStyle name="Fijo" xfId="25" xr:uid="{00000000-0005-0000-0000-000019000000}"/>
    <cellStyle name="Fijo 2" xfId="26" xr:uid="{00000000-0005-0000-0000-00001A000000}"/>
    <cellStyle name="Financiero" xfId="27" xr:uid="{00000000-0005-0000-0000-00001B000000}"/>
    <cellStyle name="Financiero 2" xfId="28" xr:uid="{00000000-0005-0000-0000-00001C000000}"/>
    <cellStyle name="Millares 2" xfId="29" xr:uid="{00000000-0005-0000-0000-00001E000000}"/>
    <cellStyle name="Moneda" xfId="52" builtinId="4"/>
    <cellStyle name="Moneda 2" xfId="30" xr:uid="{00000000-0005-0000-0000-000020000000}"/>
    <cellStyle name="Moneda 3" xfId="31" xr:uid="{00000000-0005-0000-0000-000021000000}"/>
    <cellStyle name="Moneda 3 2" xfId="32" xr:uid="{00000000-0005-0000-0000-000022000000}"/>
    <cellStyle name="Moneda 3 3" xfId="33" xr:uid="{00000000-0005-0000-0000-000023000000}"/>
    <cellStyle name="Monetario" xfId="34" xr:uid="{00000000-0005-0000-0000-000024000000}"/>
    <cellStyle name="Monetario 2" xfId="35" xr:uid="{00000000-0005-0000-0000-000025000000}"/>
    <cellStyle name="Monetario0" xfId="36" xr:uid="{00000000-0005-0000-0000-000026000000}"/>
    <cellStyle name="Normal" xfId="0" builtinId="0"/>
    <cellStyle name="Normal 2" xfId="37" xr:uid="{00000000-0005-0000-0000-000028000000}"/>
    <cellStyle name="Normal 3" xfId="38" xr:uid="{00000000-0005-0000-0000-000029000000}"/>
    <cellStyle name="Normal 4" xfId="39" xr:uid="{00000000-0005-0000-0000-00002A000000}"/>
    <cellStyle name="Normal 4 2" xfId="40" xr:uid="{00000000-0005-0000-0000-00002B000000}"/>
    <cellStyle name="Normal 4 3" xfId="41" xr:uid="{00000000-0005-0000-0000-00002C000000}"/>
    <cellStyle name="Normal 5" xfId="42" xr:uid="{00000000-0005-0000-0000-00002D000000}"/>
    <cellStyle name="Porcentaje" xfId="43" builtinId="5"/>
    <cellStyle name="Porcentaje 2" xfId="44" xr:uid="{00000000-0005-0000-0000-000030000000}"/>
    <cellStyle name="Porcentaje 3" xfId="45" xr:uid="{00000000-0005-0000-0000-000031000000}"/>
    <cellStyle name="Porcentaje 3 2" xfId="46" xr:uid="{00000000-0005-0000-0000-000032000000}"/>
    <cellStyle name="Porcentaje 3 3" xfId="47" xr:uid="{00000000-0005-0000-0000-000033000000}"/>
    <cellStyle name="Porcentual 2" xfId="48" xr:uid="{00000000-0005-0000-0000-000034000000}"/>
    <cellStyle name="Porcentual 3" xfId="49" xr:uid="{00000000-0005-0000-0000-000035000000}"/>
    <cellStyle name="Punto" xfId="50" xr:uid="{00000000-0005-0000-0000-000036000000}"/>
    <cellStyle name="Punto0" xfId="51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3224BC-52A0-49BF-AADE-DB5A6AED6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E4042EAF-CDBD-4488-9335-2841285C0761}"/>
            </a:ext>
          </a:extLst>
        </xdr:cNvPr>
        <xdr:cNvSpPr>
          <a:spLocks noChangeAspect="1" noChangeArrowheads="1"/>
        </xdr:cNvSpPr>
      </xdr:nvSpPr>
      <xdr:spPr bwMode="auto">
        <a:xfrm>
          <a:off x="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76200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5F6E1152-302A-4ED9-A255-22E30F99DF00}"/>
            </a:ext>
          </a:extLst>
        </xdr:cNvPr>
        <xdr:cNvSpPr>
          <a:spLocks noChangeAspect="1" noChangeArrowheads="1"/>
        </xdr:cNvSpPr>
      </xdr:nvSpPr>
      <xdr:spPr bwMode="auto">
        <a:xfrm>
          <a:off x="1162050" y="34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2</xdr:row>
      <xdr:rowOff>85649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B8E62B4-6BBD-4B79-B068-7A692BF95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DF4E92-21CC-4321-910D-6D8A22ECD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6EEFE7-538E-4864-B03E-243C8E75E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76649A-59F3-4D10-A56D-5D42C100A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9B0186B-FD3A-4AB6-A11B-C5A8E5469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CDBAB5-8E4C-44B9-9892-A09EF536E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99B161A-1BC3-4E6D-9131-32A8E1E4E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2FF776B-9B28-44AD-9A30-196149154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2269499-3447-48F4-BF14-0D0DAA8C6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C08A195-7044-4A31-B3D0-66EFE14A8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D1250DD-300A-49DD-9432-C9BC32686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F2AFE8F-B0DE-40E6-B4B3-CF8A121C1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399526A-29E7-45C8-894E-9C3832A4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F9AA0B9-5A7E-437D-A98C-E877C47C4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25DE18B-FC5A-4D8B-8B19-BB1B668C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547DC68-14CC-411E-8AAD-993052814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6308E9-548B-430D-A0ED-C4C481DAE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CCDE4F5-1127-4408-9616-72DACAF5A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E429C67-E1A1-4347-9F75-F0C3D7DA2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E13E98D-6623-418D-A71E-708DE9783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AF3ED46-B2CB-41B4-AB03-023D976F2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5BD848C-4670-4150-8852-17D81C0F7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AF8206A-5966-4467-9C66-74814E37B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495300</xdr:colOff>
      <xdr:row>2</xdr:row>
      <xdr:rowOff>47626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1B3D9411-C8CD-4356-859E-1346C5331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8725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78D0642F-8C7A-4CF1-AC01-824F244EA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B6A9ADFE-144C-4AA5-8627-6F2A9993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6E7AE88D-2572-4770-B3C9-9248EC026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8D51B581-DEEE-4BE2-9993-6C5993A1E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5B362233-CCA5-4700-B053-169E981B2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15D8D800-DA67-4587-9CC2-A913A8F4E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D12E605D-E592-46AD-B35F-AAE242071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401E9532-1ABF-4D8E-B72D-D8345470F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24942B4C-9C42-44F0-8C4A-02D6EEA5C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B2393933-15AD-4A34-8B22-18A24D617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8BC3E734-D63F-46A3-A16B-BA4DDE1CA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85250C6A-54FB-4122-99A3-B15F7A661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DF5FECEB-AB51-4669-97FD-8673F7A6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3" name="Imagen 152">
          <a:extLst>
            <a:ext uri="{FF2B5EF4-FFF2-40B4-BE49-F238E27FC236}">
              <a16:creationId xmlns:a16="http://schemas.microsoft.com/office/drawing/2014/main" id="{7DFF0B90-F7DB-44CC-B685-E1936D56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B8FCB120-A4F9-4482-942D-BF9E5BF24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2D4E29B9-3EDC-4000-AF34-DD3A4D742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40EC69-DCFB-444F-938C-01856AC69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F46EBC-4E11-4E10-85BA-7EE2F5302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96A126-1F5A-4FE6-9630-B7FA42FD5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FB1001-A90B-4BE3-A4F9-30FA82B5E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3E344D-1192-4C16-83DC-1FE636AA8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A613D2B-A89D-4A9D-934F-930FBE9D4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B51F02F-7505-423B-BDED-59627C716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1565FF6-DB4C-4B57-BE0B-93FB65F40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B515CDC-912C-4724-B777-34E1723A5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48D5EA5-DF38-4366-99F8-29C610FF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DF4D7BF-DF18-436F-9858-058D64109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6C4563C-5638-46C9-B83E-C2ACE866B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9D56A0E-E1F9-4EB0-BA32-6669A7A3B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CE57DAB-F6D8-42EA-A552-A6AFE514C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27CE6AC-8024-4F23-9ECE-0F46F19B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DA3F40B-1D82-4E65-9672-B0AB5A565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96D6F85-7F4E-4C2B-83EF-52788C5CC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B04D716-3C16-4CAA-9475-AA335A5E5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77871FA-A686-4617-AF08-19C9B65DE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70ADB8D-2564-40F3-BB6A-754308B39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DF1FE38-E7D4-432A-A179-8C1075494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F4937F4A-E767-4DAF-8895-E9CC82516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2EB2122-3E9F-4A4C-9239-9F925F759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4EF38BF-DA4A-4D1B-9009-D2B3CF317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A2CD73F-B2A8-4E01-8850-95F5FF3CC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7F7F82D2-B6C9-491F-B116-5E51C8D70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49B5C655-3B21-4F10-AFAA-CF3276C79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4CC3CE19-0F4B-4A39-AD4C-9ABB26BDF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E09CAA4-9C37-41B8-908D-BF4D80E35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C4855D0-1700-4C7C-882A-F2CA47910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EAFDE2D0-6FFF-49FB-A37E-3CC276984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3AA64BB-4602-427D-8A01-52AE13658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C4E3FAB2-8348-43ED-8EF3-37ECFBA4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10AB68BE-918C-40B1-986D-824418A84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9BCF6F71-0A60-4BDA-8F10-EB4116C9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EAAE7921-E243-4A1F-A13E-2F6B9BCBA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3145BEB-2D1C-49B9-81DD-8496A1204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E3CFF9D4-2744-4040-BADD-C7A34B54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3B424598-053D-45AF-8D41-D47CFBA50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1A0610DC-D482-463B-9BF6-EEC979A3C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1A19AB0F-76A9-49B1-B349-BCF7FB8EE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EAC193F1-5E58-4AF8-8388-2F0ED8983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D1BDE31-B018-4E9F-9FBB-37704F687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C50C8D5A-BBF5-4C17-9EF9-127E8EC7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84747B98-9758-492F-9C52-B775E4818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4B942E4B-AFD5-4F90-B3FD-61195CEDC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CD7B404B-358E-438D-9EB3-E1CD8A2DC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E7ECA1E0-8326-4663-8FA8-097B6FA67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368D749-54D5-49BB-A579-396E35B42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CE4E4F58-683D-407E-90F8-F2115FDD1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4F3B53C5-3CB4-4624-8C00-DD0496F18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F3B7F864-3913-46A4-A62F-F2FDD094E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68DE9AAB-9E1F-4F2D-AC3F-FF8D719A0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4D1EA54E-6133-4B6D-9E2A-504C171FF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2518D441-0F75-43B3-B05B-B2725FD29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21BDAE1E-0629-40BA-80AA-548320C05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5AA2A0A5-BDDA-4AEE-93F9-803E26436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2F541890-03CB-4AFF-8DEF-2CD563AD9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9B70EEFC-6710-4366-81F7-C5A8C61B7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C47CCB3-BB44-460C-A683-3AC1C66FE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5B656688-28B3-41E9-8408-E1254E0AB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293DB5B0-FC01-44D5-8A78-D3632F04A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481F4A31-8486-466A-94A0-541DF4417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B673BDE2-B594-492C-9337-FEAE065E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2B042B11-944E-4775-92D7-67F070EBE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4059FD63-5123-40DE-96AB-379A00BEA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1C8EE95E-79E0-4D92-A67D-B508DF5B1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C92A9433-6FE7-4AFA-9CD6-588ECBDED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1110772C-EB52-4BFB-B012-21B65971F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D3EE2557-8D0A-4B68-9920-0489D6DFD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F2059776-4325-423A-A6B4-BCB810C1F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7A21EC14-23C1-4675-B7BA-5089F137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1531C097-6059-48D4-B241-25D945510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ABE770C0-6435-41CF-B521-1CE3F5119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5A33B98E-E550-4C70-BC3B-FAC2A4CE3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6EC3C14C-0511-409C-98E2-99A5923F2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BA8264A1-CC40-4F97-B042-FF72B6448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C9056E9C-9D27-4179-95F7-75CE78CA3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401D922C-F633-4709-8529-D9B1A3A4A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A1A003C3-B584-4E8E-826A-FC610F04B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3" name="Imagen 162">
          <a:extLst>
            <a:ext uri="{FF2B5EF4-FFF2-40B4-BE49-F238E27FC236}">
              <a16:creationId xmlns:a16="http://schemas.microsoft.com/office/drawing/2014/main" id="{230CE4D2-FE5C-4677-B59F-6FCFEF18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4" name="Imagen 163">
          <a:extLst>
            <a:ext uri="{FF2B5EF4-FFF2-40B4-BE49-F238E27FC236}">
              <a16:creationId xmlns:a16="http://schemas.microsoft.com/office/drawing/2014/main" id="{52BD82BA-BC36-467E-932D-549F00CC5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CFA3717D-AA78-4157-8563-32DD9C757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B2521C21-AD09-4772-BDFA-0F512DF9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51CD08C8-D877-41D4-AF34-0BCE91EAF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8" name="Imagen 167">
          <a:extLst>
            <a:ext uri="{FF2B5EF4-FFF2-40B4-BE49-F238E27FC236}">
              <a16:creationId xmlns:a16="http://schemas.microsoft.com/office/drawing/2014/main" id="{4922D6A1-5554-4FE3-8E2B-8FD1913B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69" name="Imagen 168">
          <a:extLst>
            <a:ext uri="{FF2B5EF4-FFF2-40B4-BE49-F238E27FC236}">
              <a16:creationId xmlns:a16="http://schemas.microsoft.com/office/drawing/2014/main" id="{11D14C8D-222C-45DF-B06E-3575445D9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0" name="Imagen 169">
          <a:extLst>
            <a:ext uri="{FF2B5EF4-FFF2-40B4-BE49-F238E27FC236}">
              <a16:creationId xmlns:a16="http://schemas.microsoft.com/office/drawing/2014/main" id="{374D6D52-7581-4543-950F-EA31F11BF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1" name="Imagen 170">
          <a:extLst>
            <a:ext uri="{FF2B5EF4-FFF2-40B4-BE49-F238E27FC236}">
              <a16:creationId xmlns:a16="http://schemas.microsoft.com/office/drawing/2014/main" id="{7D73B612-D11A-4089-8790-F7F3DCFD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2" name="Imagen 171">
          <a:extLst>
            <a:ext uri="{FF2B5EF4-FFF2-40B4-BE49-F238E27FC236}">
              <a16:creationId xmlns:a16="http://schemas.microsoft.com/office/drawing/2014/main" id="{F4DDE6F0-2803-4E2B-82CC-21D439E63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3" name="Imagen 172">
          <a:extLst>
            <a:ext uri="{FF2B5EF4-FFF2-40B4-BE49-F238E27FC236}">
              <a16:creationId xmlns:a16="http://schemas.microsoft.com/office/drawing/2014/main" id="{846E77B0-808F-4563-9137-4CA5B1D04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4" name="Imagen 173">
          <a:extLst>
            <a:ext uri="{FF2B5EF4-FFF2-40B4-BE49-F238E27FC236}">
              <a16:creationId xmlns:a16="http://schemas.microsoft.com/office/drawing/2014/main" id="{0C8F6F27-8F2A-4F62-9002-323AA2D27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5" name="Imagen 174">
          <a:extLst>
            <a:ext uri="{FF2B5EF4-FFF2-40B4-BE49-F238E27FC236}">
              <a16:creationId xmlns:a16="http://schemas.microsoft.com/office/drawing/2014/main" id="{7FCE8B66-2E89-40DA-9358-426352349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6" name="Imagen 175">
          <a:extLst>
            <a:ext uri="{FF2B5EF4-FFF2-40B4-BE49-F238E27FC236}">
              <a16:creationId xmlns:a16="http://schemas.microsoft.com/office/drawing/2014/main" id="{62CECE26-7067-4FA2-83F4-2D92B17C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7" name="Imagen 176">
          <a:extLst>
            <a:ext uri="{FF2B5EF4-FFF2-40B4-BE49-F238E27FC236}">
              <a16:creationId xmlns:a16="http://schemas.microsoft.com/office/drawing/2014/main" id="{86D018CC-E7D3-48B6-9368-7AACBA575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8" name="Imagen 177">
          <a:extLst>
            <a:ext uri="{FF2B5EF4-FFF2-40B4-BE49-F238E27FC236}">
              <a16:creationId xmlns:a16="http://schemas.microsoft.com/office/drawing/2014/main" id="{411BEB58-F98A-42A3-9DF8-EFF1BDDBF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79" name="Imagen 178">
          <a:extLst>
            <a:ext uri="{FF2B5EF4-FFF2-40B4-BE49-F238E27FC236}">
              <a16:creationId xmlns:a16="http://schemas.microsoft.com/office/drawing/2014/main" id="{2D3C7233-9E30-46CE-8E8A-7E10E8651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50497E57-7DB9-4202-AB1C-689F8CD06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9E5450B5-65A2-4CF7-BFE4-5EE78454D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2" name="Imagen 181">
          <a:extLst>
            <a:ext uri="{FF2B5EF4-FFF2-40B4-BE49-F238E27FC236}">
              <a16:creationId xmlns:a16="http://schemas.microsoft.com/office/drawing/2014/main" id="{140C5266-E09E-46D1-9E0E-F33E24F0A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3" name="Imagen 182">
          <a:extLst>
            <a:ext uri="{FF2B5EF4-FFF2-40B4-BE49-F238E27FC236}">
              <a16:creationId xmlns:a16="http://schemas.microsoft.com/office/drawing/2014/main" id="{4A2CDF5D-C98A-404B-807B-41868BD45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4" name="Imagen 183">
          <a:extLst>
            <a:ext uri="{FF2B5EF4-FFF2-40B4-BE49-F238E27FC236}">
              <a16:creationId xmlns:a16="http://schemas.microsoft.com/office/drawing/2014/main" id="{39CFFE2D-E98C-4DC4-B003-6A63E5BF0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5" name="Imagen 184">
          <a:extLst>
            <a:ext uri="{FF2B5EF4-FFF2-40B4-BE49-F238E27FC236}">
              <a16:creationId xmlns:a16="http://schemas.microsoft.com/office/drawing/2014/main" id="{6A67737F-33B1-41A1-9797-8AA9FDB6A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6" name="Imagen 185">
          <a:extLst>
            <a:ext uri="{FF2B5EF4-FFF2-40B4-BE49-F238E27FC236}">
              <a16:creationId xmlns:a16="http://schemas.microsoft.com/office/drawing/2014/main" id="{40A80629-B791-4ABB-825A-66473D0D9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7" name="Imagen 186">
          <a:extLst>
            <a:ext uri="{FF2B5EF4-FFF2-40B4-BE49-F238E27FC236}">
              <a16:creationId xmlns:a16="http://schemas.microsoft.com/office/drawing/2014/main" id="{955D376B-D0E6-4782-8E12-03141AD67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8" name="Imagen 187">
          <a:extLst>
            <a:ext uri="{FF2B5EF4-FFF2-40B4-BE49-F238E27FC236}">
              <a16:creationId xmlns:a16="http://schemas.microsoft.com/office/drawing/2014/main" id="{7DA098A9-C0B7-48B1-8BA5-B3A73855D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89" name="Imagen 188">
          <a:extLst>
            <a:ext uri="{FF2B5EF4-FFF2-40B4-BE49-F238E27FC236}">
              <a16:creationId xmlns:a16="http://schemas.microsoft.com/office/drawing/2014/main" id="{2DF3AE73-6EBC-47C1-8C0A-A2FDE389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0" name="Imagen 189">
          <a:extLst>
            <a:ext uri="{FF2B5EF4-FFF2-40B4-BE49-F238E27FC236}">
              <a16:creationId xmlns:a16="http://schemas.microsoft.com/office/drawing/2014/main" id="{4781F2F6-DA72-460C-BCE6-CE140367F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1" name="Imagen 190">
          <a:extLst>
            <a:ext uri="{FF2B5EF4-FFF2-40B4-BE49-F238E27FC236}">
              <a16:creationId xmlns:a16="http://schemas.microsoft.com/office/drawing/2014/main" id="{E14F8411-0580-4199-BFAD-6555A0223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517E7E29-92C4-4363-BA26-3B925405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7CC27FE0-E6D3-4ECB-B64E-694E7F4A8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BD543DE6-5FAB-419C-A6D0-D575D39EE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3944C26D-2632-46A9-A5D4-6BB9BFFE7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D56D69C1-6A64-46AC-89B5-3308025F1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4EF7C0B4-0567-47BB-AA42-9909172A2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8" name="Imagen 197">
          <a:extLst>
            <a:ext uri="{FF2B5EF4-FFF2-40B4-BE49-F238E27FC236}">
              <a16:creationId xmlns:a16="http://schemas.microsoft.com/office/drawing/2014/main" id="{470376AA-D672-47B0-82FE-FA66A8A4D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199" name="Imagen 198">
          <a:extLst>
            <a:ext uri="{FF2B5EF4-FFF2-40B4-BE49-F238E27FC236}">
              <a16:creationId xmlns:a16="http://schemas.microsoft.com/office/drawing/2014/main" id="{5AC24F38-6C77-468F-A91A-8219AD87A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0" name="Imagen 199">
          <a:extLst>
            <a:ext uri="{FF2B5EF4-FFF2-40B4-BE49-F238E27FC236}">
              <a16:creationId xmlns:a16="http://schemas.microsoft.com/office/drawing/2014/main" id="{91795269-B23B-46A4-9EF5-76B152C6C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805A4389-79E7-4043-AF18-8BB40CDB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2" name="Imagen 201">
          <a:extLst>
            <a:ext uri="{FF2B5EF4-FFF2-40B4-BE49-F238E27FC236}">
              <a16:creationId xmlns:a16="http://schemas.microsoft.com/office/drawing/2014/main" id="{B2DC9EA4-73D6-444C-99BF-BB151DC33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3" name="Imagen 202">
          <a:extLst>
            <a:ext uri="{FF2B5EF4-FFF2-40B4-BE49-F238E27FC236}">
              <a16:creationId xmlns:a16="http://schemas.microsoft.com/office/drawing/2014/main" id="{0F6E02BA-4F6C-41BB-928B-9E4128CD5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4" name="Imagen 203">
          <a:extLst>
            <a:ext uri="{FF2B5EF4-FFF2-40B4-BE49-F238E27FC236}">
              <a16:creationId xmlns:a16="http://schemas.microsoft.com/office/drawing/2014/main" id="{CAF6F7A7-A43B-433E-9EAF-EF03D281A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9987CE44-3025-4A62-91D6-B5D674716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37FD2A87-A7C7-4D1F-8025-D261339D6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2F605DF5-0C10-42DC-8500-DFA6B2012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AEF826D1-0A6C-47AB-BD73-848410536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0877664D-16AB-4B9E-90EA-1DD2F75AF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EE597008-02C5-4426-86D4-4B94BBC7C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29145A6D-06C5-415B-B811-C47E24172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C62C99B9-0C6A-4E18-80B4-E7BE27F0E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2DC54F2F-54A1-44AC-9E6F-2AAED6C74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4" name="Imagen 213">
          <a:extLst>
            <a:ext uri="{FF2B5EF4-FFF2-40B4-BE49-F238E27FC236}">
              <a16:creationId xmlns:a16="http://schemas.microsoft.com/office/drawing/2014/main" id="{FC0F1731-FDFB-4392-934A-20F019D7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5" name="Imagen 214">
          <a:extLst>
            <a:ext uri="{FF2B5EF4-FFF2-40B4-BE49-F238E27FC236}">
              <a16:creationId xmlns:a16="http://schemas.microsoft.com/office/drawing/2014/main" id="{28875EDF-13BB-4A05-AA28-C5D72F21A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6" name="Imagen 215">
          <a:extLst>
            <a:ext uri="{FF2B5EF4-FFF2-40B4-BE49-F238E27FC236}">
              <a16:creationId xmlns:a16="http://schemas.microsoft.com/office/drawing/2014/main" id="{AD2C4756-3337-48B4-8F5B-89DD4DC3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7" name="Imagen 216">
          <a:extLst>
            <a:ext uri="{FF2B5EF4-FFF2-40B4-BE49-F238E27FC236}">
              <a16:creationId xmlns:a16="http://schemas.microsoft.com/office/drawing/2014/main" id="{8C9125DF-62D8-440D-AE79-F2784EC2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8" name="Imagen 217">
          <a:extLst>
            <a:ext uri="{FF2B5EF4-FFF2-40B4-BE49-F238E27FC236}">
              <a16:creationId xmlns:a16="http://schemas.microsoft.com/office/drawing/2014/main" id="{007F2543-AC37-4620-AC5C-EEC2CE4F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FE365C32-56E6-44AE-87C2-E598A373F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0" name="Imagen 219">
          <a:extLst>
            <a:ext uri="{FF2B5EF4-FFF2-40B4-BE49-F238E27FC236}">
              <a16:creationId xmlns:a16="http://schemas.microsoft.com/office/drawing/2014/main" id="{5D80F9BE-74C3-4179-BB88-3C2E4308A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1" name="Imagen 220">
          <a:extLst>
            <a:ext uri="{FF2B5EF4-FFF2-40B4-BE49-F238E27FC236}">
              <a16:creationId xmlns:a16="http://schemas.microsoft.com/office/drawing/2014/main" id="{5ACC469D-C06D-4E86-A683-50883D808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2" name="Imagen 221">
          <a:extLst>
            <a:ext uri="{FF2B5EF4-FFF2-40B4-BE49-F238E27FC236}">
              <a16:creationId xmlns:a16="http://schemas.microsoft.com/office/drawing/2014/main" id="{159C41FF-D64A-4286-A746-A4AB6DA54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3" name="Imagen 222">
          <a:extLst>
            <a:ext uri="{FF2B5EF4-FFF2-40B4-BE49-F238E27FC236}">
              <a16:creationId xmlns:a16="http://schemas.microsoft.com/office/drawing/2014/main" id="{7995E8FD-511D-4F71-9721-5E898E7AE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4" name="Imagen 223">
          <a:extLst>
            <a:ext uri="{FF2B5EF4-FFF2-40B4-BE49-F238E27FC236}">
              <a16:creationId xmlns:a16="http://schemas.microsoft.com/office/drawing/2014/main" id="{9A834E0D-B23F-4C4F-916D-C1438F72E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BD3975CE-0D09-4ED2-B5B0-B7A6D666C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6" name="Imagen 225">
          <a:extLst>
            <a:ext uri="{FF2B5EF4-FFF2-40B4-BE49-F238E27FC236}">
              <a16:creationId xmlns:a16="http://schemas.microsoft.com/office/drawing/2014/main" id="{5BA9B71F-4135-42FF-87FD-F4B937AA8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7" name="Imagen 226">
          <a:extLst>
            <a:ext uri="{FF2B5EF4-FFF2-40B4-BE49-F238E27FC236}">
              <a16:creationId xmlns:a16="http://schemas.microsoft.com/office/drawing/2014/main" id="{0F9CAD0D-F4CC-44BD-8865-E3331D03C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8" name="Imagen 227">
          <a:extLst>
            <a:ext uri="{FF2B5EF4-FFF2-40B4-BE49-F238E27FC236}">
              <a16:creationId xmlns:a16="http://schemas.microsoft.com/office/drawing/2014/main" id="{E7B8074D-FCE7-4333-98E7-E23BC1A76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29" name="Imagen 228">
          <a:extLst>
            <a:ext uri="{FF2B5EF4-FFF2-40B4-BE49-F238E27FC236}">
              <a16:creationId xmlns:a16="http://schemas.microsoft.com/office/drawing/2014/main" id="{F98A90E2-192A-4F1F-A812-F6EC73E9C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0" name="Imagen 229">
          <a:extLst>
            <a:ext uri="{FF2B5EF4-FFF2-40B4-BE49-F238E27FC236}">
              <a16:creationId xmlns:a16="http://schemas.microsoft.com/office/drawing/2014/main" id="{4254DE0C-DB8D-4863-99F4-57752960C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1" name="Imagen 230">
          <a:extLst>
            <a:ext uri="{FF2B5EF4-FFF2-40B4-BE49-F238E27FC236}">
              <a16:creationId xmlns:a16="http://schemas.microsoft.com/office/drawing/2014/main" id="{7EDB6685-FB62-4DF5-9B86-8654C62D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2" name="Imagen 231">
          <a:extLst>
            <a:ext uri="{FF2B5EF4-FFF2-40B4-BE49-F238E27FC236}">
              <a16:creationId xmlns:a16="http://schemas.microsoft.com/office/drawing/2014/main" id="{EADB08EA-40D6-429D-B947-B24005771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3" name="Imagen 232">
          <a:extLst>
            <a:ext uri="{FF2B5EF4-FFF2-40B4-BE49-F238E27FC236}">
              <a16:creationId xmlns:a16="http://schemas.microsoft.com/office/drawing/2014/main" id="{FA6F12A2-A295-4CEA-838A-90A07DDB8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4" name="Imagen 233">
          <a:extLst>
            <a:ext uri="{FF2B5EF4-FFF2-40B4-BE49-F238E27FC236}">
              <a16:creationId xmlns:a16="http://schemas.microsoft.com/office/drawing/2014/main" id="{1D3DD7EE-06A4-42FE-96A7-1434C09D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5" name="Imagen 234">
          <a:extLst>
            <a:ext uri="{FF2B5EF4-FFF2-40B4-BE49-F238E27FC236}">
              <a16:creationId xmlns:a16="http://schemas.microsoft.com/office/drawing/2014/main" id="{400A5B90-8AFE-44E2-9514-0EB5FD419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6" name="Imagen 235">
          <a:extLst>
            <a:ext uri="{FF2B5EF4-FFF2-40B4-BE49-F238E27FC236}">
              <a16:creationId xmlns:a16="http://schemas.microsoft.com/office/drawing/2014/main" id="{0341BC5B-CAF8-456A-9034-5B026123A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123749</xdr:rowOff>
    </xdr:to>
    <xdr:pic>
      <xdr:nvPicPr>
        <xdr:cNvPr id="237" name="Imagen 236">
          <a:extLst>
            <a:ext uri="{FF2B5EF4-FFF2-40B4-BE49-F238E27FC236}">
              <a16:creationId xmlns:a16="http://schemas.microsoft.com/office/drawing/2014/main" id="{818BA33B-556C-4A79-9566-F5376A0A7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38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2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484D85-3EA4-4ACE-A74F-77FE42B7E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872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zoomScaleNormal="100" workbookViewId="0">
      <selection activeCell="A11" sqref="A11:XFD16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  <col min="6" max="7" width="12.85546875" style="18" customWidth="1"/>
    <col min="8" max="8" width="15.28515625" style="17" customWidth="1"/>
    <col min="9" max="10" width="14.140625" style="17" customWidth="1"/>
    <col min="11" max="12" width="12.85546875" customWidth="1"/>
    <col min="13" max="13" width="5.140625" customWidth="1"/>
    <col min="14" max="15" width="12.85546875" customWidth="1"/>
    <col min="16" max="16" width="19.42578125" customWidth="1"/>
  </cols>
  <sheetData>
    <row r="1" spans="1:19" s="15" customFormat="1" ht="44.25" customHeight="1" x14ac:dyDescent="0.2">
      <c r="A1" s="19"/>
      <c r="C1" s="16"/>
      <c r="D1" s="1"/>
      <c r="E1" s="1"/>
      <c r="F1" s="7"/>
      <c r="G1" s="7"/>
      <c r="H1" s="5"/>
      <c r="I1" s="5"/>
      <c r="J1" s="5"/>
      <c r="K1" s="20"/>
      <c r="L1" s="20"/>
      <c r="M1" s="16"/>
      <c r="N1" s="16"/>
      <c r="O1" s="16"/>
      <c r="P1" s="16"/>
    </row>
    <row r="2" spans="1:19" s="15" customFormat="1" ht="12" x14ac:dyDescent="0.2">
      <c r="A2" s="21"/>
      <c r="C2" s="16"/>
      <c r="D2" s="1"/>
      <c r="E2" s="1"/>
      <c r="F2" s="7"/>
      <c r="G2" s="7"/>
      <c r="H2" s="5"/>
      <c r="I2" s="5"/>
      <c r="J2" s="5"/>
      <c r="K2" s="20"/>
      <c r="L2" s="20"/>
      <c r="M2" s="16"/>
      <c r="N2" s="16"/>
      <c r="O2" s="16"/>
      <c r="P2" s="16"/>
    </row>
    <row r="3" spans="1:19" s="15" customFormat="1" x14ac:dyDescent="0.2">
      <c r="D3" s="16"/>
      <c r="E3" s="1"/>
      <c r="F3" s="5"/>
      <c r="G3" s="5"/>
      <c r="H3" s="7"/>
      <c r="I3" s="5"/>
      <c r="J3" s="5"/>
      <c r="K3" s="20"/>
      <c r="L3" s="20"/>
      <c r="M3" s="16"/>
      <c r="N3" s="16"/>
      <c r="O3" s="16"/>
      <c r="P3" s="16"/>
    </row>
    <row r="4" spans="1:19" s="15" customFormat="1" x14ac:dyDescent="0.2">
      <c r="A4" s="15" t="s">
        <v>0</v>
      </c>
      <c r="B4" s="15" t="s">
        <v>1</v>
      </c>
      <c r="D4" s="16"/>
      <c r="E4" s="1"/>
      <c r="F4" s="5"/>
      <c r="G4" s="5"/>
      <c r="H4" s="7"/>
      <c r="I4" s="5"/>
      <c r="J4" s="5"/>
      <c r="K4" s="20"/>
      <c r="L4" s="20"/>
      <c r="M4" s="16"/>
      <c r="N4" s="16"/>
      <c r="O4" s="16"/>
      <c r="P4" s="16"/>
    </row>
    <row r="5" spans="1:19" s="15" customFormat="1" x14ac:dyDescent="0.2">
      <c r="A5" s="15" t="s">
        <v>2</v>
      </c>
      <c r="B5" t="s">
        <v>3</v>
      </c>
      <c r="D5" s="16"/>
      <c r="E5" s="1"/>
      <c r="F5" s="5"/>
      <c r="G5" s="5"/>
      <c r="H5" s="7"/>
      <c r="I5" s="5"/>
      <c r="J5" s="5"/>
      <c r="K5" s="20"/>
      <c r="L5" s="20"/>
      <c r="M5" s="16"/>
      <c r="N5" s="16"/>
      <c r="O5" s="16"/>
      <c r="P5" s="16"/>
    </row>
    <row r="6" spans="1:19" s="15" customFormat="1" x14ac:dyDescent="0.2">
      <c r="A6" s="15" t="s">
        <v>4</v>
      </c>
      <c r="B6" s="27">
        <v>45940</v>
      </c>
      <c r="D6" s="16"/>
      <c r="E6" s="1"/>
      <c r="F6" s="5"/>
      <c r="G6" s="5"/>
      <c r="H6" s="7"/>
      <c r="I6" s="5"/>
      <c r="J6" s="5"/>
      <c r="K6" s="20"/>
      <c r="L6" s="20"/>
      <c r="M6" s="16"/>
      <c r="N6" s="16"/>
      <c r="O6" s="16"/>
      <c r="P6" s="16"/>
    </row>
    <row r="7" spans="1:19" s="15" customFormat="1" x14ac:dyDescent="0.2">
      <c r="A7" s="15" t="s">
        <v>5</v>
      </c>
      <c r="B7" s="15" t="s">
        <v>6</v>
      </c>
      <c r="C7" s="3"/>
      <c r="D7" s="16"/>
      <c r="E7" s="7"/>
      <c r="F7" s="5"/>
      <c r="G7" s="5"/>
      <c r="H7" s="20"/>
      <c r="I7" s="20"/>
      <c r="J7" s="16"/>
      <c r="K7" s="16"/>
      <c r="L7" s="16"/>
      <c r="M7" s="16"/>
    </row>
    <row r="8" spans="1:19" s="37" customFormat="1" ht="18" customHeight="1" x14ac:dyDescent="0.2">
      <c r="A8" s="15" t="s">
        <v>7</v>
      </c>
      <c r="B8" s="15"/>
      <c r="C8" s="15"/>
      <c r="D8" s="34"/>
      <c r="E8" s="33"/>
      <c r="F8" s="33"/>
      <c r="G8" s="33"/>
      <c r="H8" s="22"/>
      <c r="I8" s="22"/>
      <c r="J8" s="36"/>
      <c r="K8" s="31"/>
      <c r="L8" s="32"/>
      <c r="M8" s="32"/>
    </row>
    <row r="9" spans="1:19" s="15" customFormat="1" x14ac:dyDescent="0.2">
      <c r="C9" s="3"/>
      <c r="D9" s="16"/>
      <c r="E9" s="1"/>
      <c r="F9" s="5"/>
      <c r="G9" s="5"/>
      <c r="H9" s="7"/>
      <c r="I9" s="5"/>
      <c r="J9" s="5"/>
      <c r="K9" s="20"/>
      <c r="L9" s="20"/>
      <c r="M9" s="16"/>
      <c r="N9" s="16"/>
      <c r="O9" s="16"/>
      <c r="P9" s="16"/>
    </row>
    <row r="10" spans="1:19" s="36" customFormat="1" ht="26.25" customHeight="1" x14ac:dyDescent="0.2">
      <c r="A10" s="38" t="s">
        <v>8</v>
      </c>
      <c r="B10" s="38" t="s">
        <v>9</v>
      </c>
      <c r="C10" s="39" t="s">
        <v>10</v>
      </c>
      <c r="D10" s="40" t="s">
        <v>11</v>
      </c>
      <c r="E10" s="41" t="s">
        <v>12</v>
      </c>
      <c r="F10" s="42"/>
      <c r="G10" s="42" t="s">
        <v>13</v>
      </c>
      <c r="H10" s="42" t="s">
        <v>14</v>
      </c>
      <c r="I10" s="42" t="s">
        <v>15</v>
      </c>
      <c r="J10" s="42"/>
      <c r="K10" s="4" t="s">
        <v>16</v>
      </c>
      <c r="L10" s="4" t="s">
        <v>17</v>
      </c>
      <c r="N10" s="43" t="s">
        <v>18</v>
      </c>
      <c r="O10" s="44" t="s">
        <v>19</v>
      </c>
      <c r="P10" s="44" t="s">
        <v>20</v>
      </c>
    </row>
    <row r="11" spans="1:19" s="28" customFormat="1" ht="29.25" customHeight="1" x14ac:dyDescent="0.2">
      <c r="A11" s="45"/>
      <c r="B11" s="46" t="s">
        <v>21</v>
      </c>
      <c r="C11" s="58" t="s">
        <v>22</v>
      </c>
      <c r="D11" s="47" t="s">
        <v>23</v>
      </c>
      <c r="E11" s="48">
        <v>1096</v>
      </c>
      <c r="F11" s="49"/>
      <c r="G11" s="49">
        <f>SUM(G12:G15)</f>
        <v>9512.7335224758062</v>
      </c>
      <c r="H11" s="49">
        <f>+E11*G11</f>
        <v>10425955.940633483</v>
      </c>
      <c r="I11" s="50"/>
      <c r="J11" s="50"/>
      <c r="K11" s="51"/>
      <c r="L11" s="52"/>
      <c r="M11" s="52"/>
      <c r="N11" s="52"/>
      <c r="O11" s="52"/>
      <c r="P11" s="52"/>
      <c r="Q11" s="55" t="s">
        <v>24</v>
      </c>
      <c r="R11" s="55" t="s">
        <v>25</v>
      </c>
      <c r="S11" s="55" t="s">
        <v>26</v>
      </c>
    </row>
    <row r="12" spans="1:19" s="37" customFormat="1" ht="18" customHeight="1" x14ac:dyDescent="0.2">
      <c r="A12" s="36" t="s">
        <v>27</v>
      </c>
      <c r="B12" s="15"/>
      <c r="C12" s="29" t="s">
        <v>28</v>
      </c>
      <c r="D12" s="16" t="s">
        <v>29</v>
      </c>
      <c r="E12" s="1">
        <f>48/E11</f>
        <v>4.3795620437956206E-2</v>
      </c>
      <c r="F12" s="5">
        <v>7224.61</v>
      </c>
      <c r="G12" s="5">
        <f>+E12*F12</f>
        <v>316.40627737226276</v>
      </c>
      <c r="H12" s="30"/>
      <c r="I12" s="32"/>
      <c r="J12" s="32"/>
      <c r="K12" s="32"/>
      <c r="L12" s="32"/>
      <c r="M12" s="36"/>
      <c r="N12" s="31">
        <f>E12*$E$11</f>
        <v>48</v>
      </c>
      <c r="O12" s="32">
        <f>+F12</f>
        <v>7224.61</v>
      </c>
      <c r="P12" s="32">
        <f>N12*O12</f>
        <v>346781.27999999997</v>
      </c>
      <c r="Q12" s="57">
        <v>1</v>
      </c>
      <c r="R12" s="59">
        <f>+N12/8</f>
        <v>6</v>
      </c>
      <c r="S12" s="59">
        <f>+R12/Q12</f>
        <v>6</v>
      </c>
    </row>
    <row r="13" spans="1:19" s="37" customFormat="1" ht="18" customHeight="1" x14ac:dyDescent="0.2">
      <c r="A13" s="36" t="s">
        <v>27</v>
      </c>
      <c r="B13" s="15"/>
      <c r="C13" s="29" t="s">
        <v>30</v>
      </c>
      <c r="D13" s="16" t="s">
        <v>29</v>
      </c>
      <c r="E13" s="1">
        <f>96/E11</f>
        <v>8.7591240875912413E-2</v>
      </c>
      <c r="F13" s="5">
        <v>5000</v>
      </c>
      <c r="G13" s="5">
        <f>+E13*F13</f>
        <v>437.95620437956205</v>
      </c>
      <c r="H13" s="30"/>
      <c r="I13" s="32"/>
      <c r="J13" s="32"/>
      <c r="K13" s="32"/>
      <c r="L13" s="32"/>
      <c r="M13" s="36"/>
      <c r="N13" s="31">
        <f t="shared" ref="N13:N14" si="0">E13*$E$11</f>
        <v>96</v>
      </c>
      <c r="O13" s="32">
        <f t="shared" ref="O13:O14" si="1">+F13</f>
        <v>5000</v>
      </c>
      <c r="P13" s="32">
        <f t="shared" ref="P13:P14" si="2">N13*O13</f>
        <v>480000</v>
      </c>
      <c r="Q13" s="57">
        <v>1</v>
      </c>
      <c r="R13" s="59">
        <f>+N13/8</f>
        <v>12</v>
      </c>
      <c r="S13" s="59">
        <f>+R13/Q13</f>
        <v>12</v>
      </c>
    </row>
    <row r="14" spans="1:19" s="37" customFormat="1" ht="18" customHeight="1" x14ac:dyDescent="0.2">
      <c r="A14" s="36" t="s">
        <v>31</v>
      </c>
      <c r="B14" s="29">
        <v>101001</v>
      </c>
      <c r="C14" s="29" t="s">
        <v>32</v>
      </c>
      <c r="D14" s="16" t="s">
        <v>33</v>
      </c>
      <c r="E14" s="1">
        <v>1.25</v>
      </c>
      <c r="F14" s="5">
        <f>5*1400</f>
        <v>7000</v>
      </c>
      <c r="G14" s="5">
        <f>+E14*F14</f>
        <v>8750</v>
      </c>
      <c r="H14" s="30"/>
      <c r="I14" s="32"/>
      <c r="J14" s="32"/>
      <c r="K14" s="32"/>
      <c r="L14" s="32"/>
      <c r="M14" s="36"/>
      <c r="N14" s="31">
        <f t="shared" si="0"/>
        <v>1370</v>
      </c>
      <c r="O14" s="32">
        <f t="shared" si="1"/>
        <v>7000</v>
      </c>
      <c r="P14" s="32">
        <f t="shared" si="2"/>
        <v>9590000</v>
      </c>
      <c r="Q14" s="36"/>
    </row>
    <row r="15" spans="1:19" ht="18" customHeight="1" x14ac:dyDescent="0.2">
      <c r="A15" s="36" t="s">
        <v>31</v>
      </c>
      <c r="C15" s="29" t="s">
        <v>121</v>
      </c>
      <c r="D15" s="16" t="s">
        <v>122</v>
      </c>
      <c r="E15" s="79">
        <v>2.2624434389140272E-4</v>
      </c>
      <c r="F15" s="5">
        <v>37000</v>
      </c>
      <c r="G15" s="5">
        <f t="shared" ref="G15" si="3">+E15*F15</f>
        <v>8.3710407239819009</v>
      </c>
      <c r="N15" s="31">
        <f t="shared" ref="N15" si="4">E15*$E$11</f>
        <v>0.24796380090497738</v>
      </c>
      <c r="O15" s="32">
        <f t="shared" ref="O15" si="5">+F15</f>
        <v>37000</v>
      </c>
      <c r="P15" s="32">
        <f t="shared" ref="P15" si="6">N15*O15</f>
        <v>9174.6606334841636</v>
      </c>
    </row>
    <row r="16" spans="1:19" ht="18" customHeight="1" x14ac:dyDescent="0.2">
      <c r="H16" s="17">
        <f>SUM(H11:H15)</f>
        <v>10425955.940633483</v>
      </c>
      <c r="P16" s="18">
        <f>SUM(P12:P15)</f>
        <v>10425955.940633483</v>
      </c>
    </row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</sheetData>
  <autoFilter ref="A10:Q10" xr:uid="{00000000-0009-0000-0000-000000000000}"/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H95"/>
  <sheetViews>
    <sheetView topLeftCell="A68" zoomScaleNormal="100" workbookViewId="0">
      <selection activeCell="H85" sqref="H85"/>
    </sheetView>
  </sheetViews>
  <sheetFormatPr baseColWidth="10" defaultColWidth="12" defaultRowHeight="11.25" customHeight="1" x14ac:dyDescent="0.2"/>
  <cols>
    <col min="1" max="2" width="10.140625" style="15" customWidth="1"/>
    <col min="3" max="3" width="66" style="3" customWidth="1"/>
    <col min="4" max="5" width="12.85546875" style="16" customWidth="1"/>
    <col min="6" max="6" width="12.85546875" style="1" customWidth="1"/>
    <col min="7" max="7" width="14.42578125" style="5" customWidth="1"/>
    <col min="8" max="8" width="16.28515625" style="5" customWidth="1"/>
    <col min="9" max="16384" width="12" style="15"/>
  </cols>
  <sheetData>
    <row r="1" spans="1:8" ht="47.25" customHeight="1" x14ac:dyDescent="0.2">
      <c r="A1" s="19"/>
      <c r="C1" s="16"/>
      <c r="G1" s="1"/>
      <c r="H1" s="1"/>
    </row>
    <row r="2" spans="1:8" ht="12" x14ac:dyDescent="0.2">
      <c r="A2" s="21"/>
      <c r="C2" s="16"/>
      <c r="G2" s="1"/>
      <c r="H2" s="1"/>
    </row>
    <row r="3" spans="1:8" ht="10.199999999999999" x14ac:dyDescent="0.2">
      <c r="C3" s="15"/>
      <c r="G3" s="1"/>
      <c r="H3" s="1"/>
    </row>
    <row r="4" spans="1:8" ht="10.199999999999999" x14ac:dyDescent="0.2">
      <c r="A4" s="15" t="s">
        <v>0</v>
      </c>
      <c r="B4" s="15" t="s">
        <v>1</v>
      </c>
      <c r="C4" s="15"/>
    </row>
    <row r="5" spans="1:8" ht="10.199999999999999" x14ac:dyDescent="0.2">
      <c r="A5" s="15" t="s">
        <v>2</v>
      </c>
      <c r="B5" t="s">
        <v>3</v>
      </c>
      <c r="C5" s="15"/>
    </row>
    <row r="6" spans="1:8" ht="10.199999999999999" x14ac:dyDescent="0.2">
      <c r="A6" s="15" t="s">
        <v>4</v>
      </c>
      <c r="B6" s="27">
        <v>45940</v>
      </c>
      <c r="C6" s="15"/>
    </row>
    <row r="7" spans="1:8" ht="10.199999999999999" x14ac:dyDescent="0.2">
      <c r="A7" s="15" t="s">
        <v>5</v>
      </c>
      <c r="B7" s="15" t="s">
        <v>6</v>
      </c>
      <c r="F7" s="7"/>
    </row>
    <row r="8" spans="1:8" s="37" customFormat="1" ht="18" customHeight="1" x14ac:dyDescent="0.2">
      <c r="A8" s="15" t="s">
        <v>7</v>
      </c>
      <c r="B8" s="15"/>
      <c r="C8" s="15"/>
      <c r="D8" s="34"/>
      <c r="E8" s="34"/>
      <c r="F8" s="35"/>
      <c r="G8" s="33"/>
      <c r="H8" s="33"/>
    </row>
    <row r="10" spans="1:8" s="3" customFormat="1" ht="20.399999999999999" x14ac:dyDescent="0.2">
      <c r="A10" s="2" t="s">
        <v>8</v>
      </c>
      <c r="B10" s="2" t="s">
        <v>34</v>
      </c>
      <c r="C10" s="3" t="s">
        <v>35</v>
      </c>
      <c r="D10" s="2" t="s">
        <v>11</v>
      </c>
      <c r="E10" s="2" t="s">
        <v>125</v>
      </c>
      <c r="F10" s="6" t="s">
        <v>12</v>
      </c>
      <c r="G10" s="7" t="s">
        <v>36</v>
      </c>
      <c r="H10" s="7" t="s">
        <v>37</v>
      </c>
    </row>
    <row r="11" spans="1:8" ht="18" customHeight="1" x14ac:dyDescent="0.2">
      <c r="A11" s="8" t="s">
        <v>38</v>
      </c>
      <c r="B11" s="8"/>
      <c r="C11" s="9" t="s">
        <v>39</v>
      </c>
      <c r="D11" s="10"/>
      <c r="E11" s="10"/>
      <c r="F11" s="11"/>
      <c r="G11" s="12"/>
      <c r="H11" s="13">
        <f ca="1">SUM(H12:H14)</f>
        <v>10425955.940633483</v>
      </c>
    </row>
    <row r="12" spans="1:8" ht="18" customHeight="1" x14ac:dyDescent="0.2">
      <c r="A12" s="14" t="s">
        <v>38</v>
      </c>
      <c r="B12" s="14" t="s">
        <v>38</v>
      </c>
      <c r="C12" s="3" t="s">
        <v>40</v>
      </c>
      <c r="D12" s="16" t="s">
        <v>41</v>
      </c>
      <c r="F12" s="1">
        <v>1</v>
      </c>
      <c r="G12" s="5">
        <f ca="1">SUMIF('Análisis de precios'!$A$9:$A$15,"MAT",'Análisis de precios'!$P$9:$P$14)</f>
        <v>9599174.6606334839</v>
      </c>
      <c r="H12" s="5">
        <f ca="1">+F12*G12</f>
        <v>9599174.6606334839</v>
      </c>
    </row>
    <row r="13" spans="1:8" ht="18" customHeight="1" x14ac:dyDescent="0.2">
      <c r="A13" s="14" t="s">
        <v>38</v>
      </c>
      <c r="B13" s="14" t="s">
        <v>42</v>
      </c>
      <c r="C13" s="3" t="s">
        <v>43</v>
      </c>
      <c r="D13" s="16" t="s">
        <v>41</v>
      </c>
      <c r="F13" s="1">
        <v>1</v>
      </c>
      <c r="G13" s="5">
        <f>SUMIF('Análisis de precios'!$A$9:$A$14,"MO",'Análisis de precios'!$P$9:$P$14)</f>
        <v>826781.28</v>
      </c>
      <c r="H13" s="5">
        <f>+F13*G13</f>
        <v>826781.28</v>
      </c>
    </row>
    <row r="14" spans="1:8" ht="18" customHeight="1" x14ac:dyDescent="0.2">
      <c r="A14" s="14" t="s">
        <v>38</v>
      </c>
      <c r="B14" s="14" t="s">
        <v>44</v>
      </c>
      <c r="C14" s="3" t="s">
        <v>45</v>
      </c>
      <c r="D14" s="16" t="s">
        <v>41</v>
      </c>
      <c r="F14" s="1">
        <v>1</v>
      </c>
      <c r="G14" s="5">
        <f>SUMIF('Análisis de precios'!$A$9:$A$10,"EQUIPOS",'Análisis de precios'!$P$9:$P$10)</f>
        <v>0</v>
      </c>
      <c r="H14" s="5">
        <f>+F14*G14</f>
        <v>0</v>
      </c>
    </row>
    <row r="15" spans="1:8" ht="18" customHeight="1" x14ac:dyDescent="0.2">
      <c r="A15" s="14"/>
      <c r="B15" s="14"/>
    </row>
    <row r="16" spans="1:8" ht="18" customHeight="1" x14ac:dyDescent="0.2">
      <c r="A16" s="8" t="s">
        <v>42</v>
      </c>
      <c r="B16" s="8"/>
      <c r="C16" s="9" t="s">
        <v>46</v>
      </c>
      <c r="D16" s="10"/>
      <c r="E16" s="10"/>
      <c r="F16" s="11"/>
      <c r="G16" s="12"/>
      <c r="H16" s="13">
        <f ca="1">SUM(H17:H60)</f>
        <v>1063395.0479638008</v>
      </c>
    </row>
    <row r="17" spans="1:8" ht="18" customHeight="1" x14ac:dyDescent="0.2">
      <c r="A17"/>
      <c r="B17" s="14"/>
      <c r="C17" t="s">
        <v>47</v>
      </c>
      <c r="D17" s="16" t="s">
        <v>48</v>
      </c>
      <c r="F17" s="1">
        <v>0.24</v>
      </c>
      <c r="G17" s="5">
        <v>1650000</v>
      </c>
      <c r="H17" s="33">
        <f>F17*G17</f>
        <v>396000</v>
      </c>
    </row>
    <row r="18" spans="1:8" ht="18" customHeight="1" x14ac:dyDescent="0.2">
      <c r="A18" s="14"/>
      <c r="B18" s="14"/>
      <c r="C18" s="3" t="s">
        <v>49</v>
      </c>
      <c r="D18" s="16" t="s">
        <v>50</v>
      </c>
      <c r="F18" s="1">
        <v>0</v>
      </c>
      <c r="G18" s="54">
        <v>12000</v>
      </c>
      <c r="H18" s="33">
        <f t="shared" ref="H18:H60" si="0">F18*G18</f>
        <v>0</v>
      </c>
    </row>
    <row r="19" spans="1:8" ht="18" customHeight="1" x14ac:dyDescent="0.2">
      <c r="A19" s="14"/>
      <c r="B19" s="14"/>
      <c r="C19" s="3" t="s">
        <v>51</v>
      </c>
      <c r="D19" s="16" t="s">
        <v>50</v>
      </c>
      <c r="F19" s="1">
        <v>0</v>
      </c>
      <c r="G19" s="54">
        <v>40000</v>
      </c>
      <c r="H19" s="33">
        <f t="shared" si="0"/>
        <v>0</v>
      </c>
    </row>
    <row r="20" spans="1:8" ht="18" customHeight="1" x14ac:dyDescent="0.2">
      <c r="A20" s="14"/>
      <c r="B20" s="14"/>
      <c r="C20" s="3" t="s">
        <v>52</v>
      </c>
      <c r="D20" s="16" t="s">
        <v>53</v>
      </c>
      <c r="F20" s="1">
        <v>120</v>
      </c>
      <c r="G20" s="5">
        <v>250</v>
      </c>
      <c r="H20" s="33">
        <f t="shared" si="0"/>
        <v>30000</v>
      </c>
    </row>
    <row r="21" spans="1:8" ht="18" customHeight="1" x14ac:dyDescent="0.2">
      <c r="A21" s="14"/>
      <c r="B21" s="14"/>
      <c r="C21" s="3" t="s">
        <v>54</v>
      </c>
      <c r="D21" s="16" t="s">
        <v>55</v>
      </c>
      <c r="F21" s="1">
        <v>120</v>
      </c>
      <c r="G21" s="5">
        <v>250</v>
      </c>
      <c r="H21" s="33">
        <f t="shared" si="0"/>
        <v>30000</v>
      </c>
    </row>
    <row r="22" spans="1:8" ht="18" customHeight="1" x14ac:dyDescent="0.2">
      <c r="A22" s="14"/>
      <c r="B22" s="14"/>
      <c r="C22" s="3" t="s">
        <v>56</v>
      </c>
      <c r="D22" s="16" t="s">
        <v>57</v>
      </c>
      <c r="F22" s="1">
        <v>0</v>
      </c>
      <c r="G22" s="5">
        <v>0</v>
      </c>
      <c r="H22" s="33">
        <f t="shared" si="0"/>
        <v>0</v>
      </c>
    </row>
    <row r="23" spans="1:8" ht="18" customHeight="1" x14ac:dyDescent="0.2">
      <c r="A23" s="14"/>
      <c r="B23" s="14"/>
      <c r="C23" s="3" t="s">
        <v>58</v>
      </c>
      <c r="D23" s="16" t="s">
        <v>41</v>
      </c>
      <c r="F23" s="1">
        <v>0</v>
      </c>
      <c r="G23" s="5">
        <v>1200</v>
      </c>
      <c r="H23" s="33">
        <f t="shared" si="0"/>
        <v>0</v>
      </c>
    </row>
    <row r="24" spans="1:8" ht="18" customHeight="1" x14ac:dyDescent="0.2">
      <c r="A24" s="14"/>
      <c r="B24" s="14"/>
      <c r="C24" s="3" t="s">
        <v>59</v>
      </c>
      <c r="D24" s="16" t="s">
        <v>41</v>
      </c>
      <c r="F24" s="1">
        <v>0</v>
      </c>
      <c r="G24" s="5">
        <v>0</v>
      </c>
      <c r="H24" s="33">
        <f t="shared" si="0"/>
        <v>0</v>
      </c>
    </row>
    <row r="25" spans="1:8" ht="18" customHeight="1" x14ac:dyDescent="0.2">
      <c r="A25" s="14"/>
      <c r="B25" s="14"/>
      <c r="C25" s="3" t="s">
        <v>60</v>
      </c>
      <c r="D25" s="16" t="s">
        <v>48</v>
      </c>
      <c r="F25" s="1">
        <v>0</v>
      </c>
      <c r="G25" s="5">
        <v>18000</v>
      </c>
      <c r="H25" s="33">
        <f t="shared" si="0"/>
        <v>0</v>
      </c>
    </row>
    <row r="26" spans="1:8" ht="18" customHeight="1" x14ac:dyDescent="0.2">
      <c r="A26" s="14"/>
      <c r="B26" s="14"/>
      <c r="C26" s="3" t="s">
        <v>61</v>
      </c>
      <c r="D26" s="16" t="s">
        <v>62</v>
      </c>
      <c r="F26" s="1">
        <f>0.24/6</f>
        <v>0.04</v>
      </c>
      <c r="G26" s="5">
        <v>170000</v>
      </c>
      <c r="H26" s="33">
        <f t="shared" si="0"/>
        <v>6800</v>
      </c>
    </row>
    <row r="27" spans="1:8" ht="18" customHeight="1" x14ac:dyDescent="0.2">
      <c r="A27" s="14"/>
      <c r="B27" s="14"/>
      <c r="H27" s="33"/>
    </row>
    <row r="28" spans="1:8" ht="18" customHeight="1" x14ac:dyDescent="0.2">
      <c r="A28" s="14"/>
      <c r="B28" s="14"/>
      <c r="C28" s="3" t="s">
        <v>63</v>
      </c>
      <c r="D28" s="16" t="s">
        <v>64</v>
      </c>
      <c r="F28" s="16">
        <v>0</v>
      </c>
      <c r="G28" s="5">
        <f>+G18</f>
        <v>12000</v>
      </c>
      <c r="H28" s="33">
        <f t="shared" si="0"/>
        <v>0</v>
      </c>
    </row>
    <row r="29" spans="1:8" ht="18" customHeight="1" x14ac:dyDescent="0.2">
      <c r="A29" s="14"/>
      <c r="B29" s="14"/>
      <c r="C29" s="3" t="s">
        <v>65</v>
      </c>
      <c r="D29" s="16" t="s">
        <v>64</v>
      </c>
      <c r="F29" s="1">
        <v>0</v>
      </c>
      <c r="G29" s="5">
        <v>0</v>
      </c>
      <c r="H29" s="33">
        <f t="shared" si="0"/>
        <v>0</v>
      </c>
    </row>
    <row r="30" spans="1:8" ht="18" customHeight="1" x14ac:dyDescent="0.2">
      <c r="A30" s="14"/>
      <c r="B30" s="14"/>
      <c r="C30" s="3" t="s">
        <v>66</v>
      </c>
      <c r="D30" s="16" t="s">
        <v>67</v>
      </c>
      <c r="F30" s="1">
        <v>0</v>
      </c>
      <c r="G30" s="5">
        <v>0</v>
      </c>
      <c r="H30" s="33">
        <f t="shared" si="0"/>
        <v>0</v>
      </c>
    </row>
    <row r="31" spans="1:8" ht="18" customHeight="1" x14ac:dyDescent="0.2">
      <c r="A31" s="14"/>
      <c r="B31" s="14"/>
      <c r="C31" s="3" t="s">
        <v>68</v>
      </c>
      <c r="D31" s="16" t="s">
        <v>69</v>
      </c>
      <c r="F31" s="1">
        <v>0</v>
      </c>
      <c r="G31" s="5">
        <v>0</v>
      </c>
      <c r="H31" s="33">
        <f t="shared" si="0"/>
        <v>0</v>
      </c>
    </row>
    <row r="32" spans="1:8" ht="18" customHeight="1" x14ac:dyDescent="0.2">
      <c r="A32" s="14"/>
      <c r="B32" s="14"/>
      <c r="C32" s="3" t="s">
        <v>70</v>
      </c>
      <c r="D32" s="16" t="s">
        <v>57</v>
      </c>
      <c r="F32" s="1">
        <v>0</v>
      </c>
      <c r="G32" s="5">
        <v>60000</v>
      </c>
      <c r="H32" s="33">
        <f t="shared" si="0"/>
        <v>0</v>
      </c>
    </row>
    <row r="33" spans="1:8" ht="18" customHeight="1" x14ac:dyDescent="0.2">
      <c r="A33" s="14"/>
      <c r="B33" s="14"/>
      <c r="C33" s="3" t="s">
        <v>58</v>
      </c>
      <c r="D33" s="16" t="s">
        <v>41</v>
      </c>
      <c r="F33" s="1">
        <v>0</v>
      </c>
      <c r="G33" s="5">
        <v>2000</v>
      </c>
      <c r="H33" s="33">
        <f t="shared" si="0"/>
        <v>0</v>
      </c>
    </row>
    <row r="34" spans="1:8" ht="18" customHeight="1" x14ac:dyDescent="0.2">
      <c r="A34" s="14"/>
      <c r="B34" s="14"/>
      <c r="C34" s="3" t="s">
        <v>71</v>
      </c>
      <c r="D34" s="16" t="s">
        <v>72</v>
      </c>
      <c r="F34" s="1">
        <f>2*0.24</f>
        <v>0.48</v>
      </c>
      <c r="G34" s="5">
        <v>40000</v>
      </c>
      <c r="H34" s="33">
        <f t="shared" si="0"/>
        <v>19200</v>
      </c>
    </row>
    <row r="35" spans="1:8" ht="18" customHeight="1" x14ac:dyDescent="0.2">
      <c r="A35" s="14"/>
      <c r="B35" s="14"/>
      <c r="C35" s="3" t="s">
        <v>73</v>
      </c>
      <c r="D35" s="16" t="s">
        <v>62</v>
      </c>
      <c r="F35" s="1">
        <f>0.24/6</f>
        <v>0.04</v>
      </c>
      <c r="G35" s="5">
        <v>220000</v>
      </c>
      <c r="H35" s="33">
        <f t="shared" si="0"/>
        <v>8800</v>
      </c>
    </row>
    <row r="36" spans="1:8" ht="18" customHeight="1" x14ac:dyDescent="0.2">
      <c r="A36" s="14"/>
      <c r="B36" s="14"/>
      <c r="H36" s="33"/>
    </row>
    <row r="37" spans="1:8" ht="18" customHeight="1" x14ac:dyDescent="0.2">
      <c r="A37" s="14"/>
      <c r="B37" s="14"/>
      <c r="C37" s="3" t="s">
        <v>74</v>
      </c>
      <c r="D37" s="16" t="s">
        <v>41</v>
      </c>
      <c r="F37" s="1">
        <v>1</v>
      </c>
      <c r="G37" s="5">
        <v>0</v>
      </c>
      <c r="H37" s="33">
        <f t="shared" si="0"/>
        <v>0</v>
      </c>
    </row>
    <row r="38" spans="1:8" ht="18" customHeight="1" x14ac:dyDescent="0.2">
      <c r="A38" s="14"/>
      <c r="B38" s="14"/>
      <c r="C38" s="3" t="s">
        <v>75</v>
      </c>
      <c r="D38" s="16" t="s">
        <v>41</v>
      </c>
      <c r="F38" s="1">
        <v>0</v>
      </c>
      <c r="G38" s="5">
        <v>350000</v>
      </c>
      <c r="H38" s="33">
        <f t="shared" si="0"/>
        <v>0</v>
      </c>
    </row>
    <row r="39" spans="1:8" ht="18" customHeight="1" x14ac:dyDescent="0.2">
      <c r="A39" s="14"/>
      <c r="B39" s="14"/>
      <c r="C39" s="3" t="s">
        <v>76</v>
      </c>
      <c r="D39" s="16" t="s">
        <v>41</v>
      </c>
      <c r="F39" s="1">
        <v>1</v>
      </c>
      <c r="G39" s="5">
        <v>15000</v>
      </c>
      <c r="H39" s="33">
        <f t="shared" si="0"/>
        <v>15000</v>
      </c>
    </row>
    <row r="40" spans="1:8" ht="18" customHeight="1" x14ac:dyDescent="0.2">
      <c r="A40" s="14"/>
      <c r="B40" s="14"/>
      <c r="H40" s="33"/>
    </row>
    <row r="41" spans="1:8" ht="18" customHeight="1" x14ac:dyDescent="0.2">
      <c r="A41" s="14"/>
      <c r="B41" s="14"/>
      <c r="C41" s="3" t="s">
        <v>77</v>
      </c>
      <c r="D41" s="16" t="s">
        <v>67</v>
      </c>
      <c r="F41" s="1">
        <v>1</v>
      </c>
      <c r="G41" s="5">
        <v>500000</v>
      </c>
      <c r="H41" s="33">
        <f t="shared" si="0"/>
        <v>500000</v>
      </c>
    </row>
    <row r="42" spans="1:8" ht="18" customHeight="1" x14ac:dyDescent="0.2">
      <c r="A42" s="14"/>
      <c r="B42" s="14"/>
      <c r="C42" s="3" t="s">
        <v>78</v>
      </c>
      <c r="D42" s="16" t="s">
        <v>79</v>
      </c>
      <c r="F42" s="1">
        <v>0</v>
      </c>
      <c r="G42" s="5">
        <v>0</v>
      </c>
      <c r="H42" s="33">
        <f t="shared" si="0"/>
        <v>0</v>
      </c>
    </row>
    <row r="43" spans="1:8" ht="18" customHeight="1" x14ac:dyDescent="0.2">
      <c r="A43" s="14"/>
      <c r="B43" s="14"/>
      <c r="C43" s="3" t="s">
        <v>80</v>
      </c>
      <c r="D43" s="16" t="s">
        <v>79</v>
      </c>
      <c r="F43" s="1">
        <v>0</v>
      </c>
      <c r="G43" s="5">
        <v>0</v>
      </c>
      <c r="H43" s="33">
        <f t="shared" si="0"/>
        <v>0</v>
      </c>
    </row>
    <row r="44" spans="1:8" ht="18" customHeight="1" x14ac:dyDescent="0.2">
      <c r="A44" s="14"/>
      <c r="B44" s="14"/>
      <c r="C44" s="3" t="s">
        <v>66</v>
      </c>
      <c r="D44" s="16" t="s">
        <v>79</v>
      </c>
      <c r="F44" s="1">
        <v>0</v>
      </c>
      <c r="G44" s="5">
        <v>125</v>
      </c>
      <c r="H44" s="33">
        <f t="shared" si="0"/>
        <v>0</v>
      </c>
    </row>
    <row r="45" spans="1:8" ht="18" customHeight="1" x14ac:dyDescent="0.2">
      <c r="A45" s="14"/>
      <c r="B45" s="14"/>
      <c r="C45" s="3" t="s">
        <v>81</v>
      </c>
      <c r="D45" s="16" t="s">
        <v>67</v>
      </c>
      <c r="F45" s="1">
        <v>0</v>
      </c>
      <c r="G45" s="5">
        <v>125</v>
      </c>
      <c r="H45" s="33">
        <f>F45*G45</f>
        <v>0</v>
      </c>
    </row>
    <row r="46" spans="1:8" ht="18" customHeight="1" x14ac:dyDescent="0.2">
      <c r="A46" s="14"/>
      <c r="B46" s="14"/>
      <c r="C46" s="3" t="s">
        <v>82</v>
      </c>
      <c r="D46" s="16" t="s">
        <v>41</v>
      </c>
      <c r="F46" s="1">
        <v>0</v>
      </c>
      <c r="G46" s="5">
        <v>0</v>
      </c>
      <c r="H46" s="33">
        <f>F46*G46</f>
        <v>0</v>
      </c>
    </row>
    <row r="47" spans="1:8" ht="18" customHeight="1" x14ac:dyDescent="0.2">
      <c r="A47" s="14"/>
      <c r="B47" s="14"/>
      <c r="C47" s="3" t="s">
        <v>58</v>
      </c>
      <c r="D47" s="16" t="s">
        <v>41</v>
      </c>
      <c r="F47" s="1">
        <v>0</v>
      </c>
      <c r="G47" s="5">
        <v>0</v>
      </c>
      <c r="H47" s="33">
        <f t="shared" si="0"/>
        <v>0</v>
      </c>
    </row>
    <row r="48" spans="1:8" ht="18" customHeight="1" x14ac:dyDescent="0.2">
      <c r="A48" s="14"/>
      <c r="B48" s="14"/>
      <c r="C48" s="3" t="s">
        <v>83</v>
      </c>
      <c r="D48" s="16" t="s">
        <v>41</v>
      </c>
      <c r="F48" s="1">
        <v>6.0000000000000001E-3</v>
      </c>
      <c r="G48" s="5">
        <f ca="1">G12</f>
        <v>9599174.6606334839</v>
      </c>
      <c r="H48" s="33">
        <f t="shared" ca="1" si="0"/>
        <v>57595.047963800906</v>
      </c>
    </row>
    <row r="49" spans="1:8" ht="18" customHeight="1" x14ac:dyDescent="0.2">
      <c r="A49" s="14"/>
      <c r="B49" s="14"/>
      <c r="H49" s="33"/>
    </row>
    <row r="50" spans="1:8" ht="18" customHeight="1" x14ac:dyDescent="0.2">
      <c r="A50" s="14"/>
      <c r="B50" s="14"/>
      <c r="C50" s="3" t="s">
        <v>84</v>
      </c>
      <c r="D50" s="16" t="s">
        <v>72</v>
      </c>
      <c r="F50" s="1">
        <v>0</v>
      </c>
      <c r="G50" s="5">
        <v>0</v>
      </c>
      <c r="H50" s="33">
        <f t="shared" si="0"/>
        <v>0</v>
      </c>
    </row>
    <row r="51" spans="1:8" ht="18" customHeight="1" x14ac:dyDescent="0.2">
      <c r="A51" s="14"/>
      <c r="B51" s="14"/>
      <c r="C51" s="3" t="s">
        <v>85</v>
      </c>
      <c r="D51" s="16" t="s">
        <v>79</v>
      </c>
      <c r="F51" s="1">
        <v>0</v>
      </c>
      <c r="G51" s="5">
        <v>0</v>
      </c>
      <c r="H51" s="33">
        <f t="shared" si="0"/>
        <v>0</v>
      </c>
    </row>
    <row r="52" spans="1:8" ht="18" customHeight="1" x14ac:dyDescent="0.2">
      <c r="A52" s="14"/>
      <c r="B52" s="14"/>
      <c r="C52" s="3" t="s">
        <v>86</v>
      </c>
      <c r="D52" s="16" t="s">
        <v>79</v>
      </c>
      <c r="F52" s="1">
        <v>0</v>
      </c>
      <c r="G52" s="5">
        <v>0</v>
      </c>
      <c r="H52" s="33">
        <f t="shared" si="0"/>
        <v>0</v>
      </c>
    </row>
    <row r="53" spans="1:8" ht="18" customHeight="1" x14ac:dyDescent="0.2">
      <c r="A53" s="14"/>
      <c r="B53" s="14"/>
      <c r="C53" s="3" t="s">
        <v>87</v>
      </c>
      <c r="D53" s="16" t="s">
        <v>79</v>
      </c>
      <c r="F53" s="1">
        <v>0</v>
      </c>
      <c r="G53" s="5">
        <v>0</v>
      </c>
      <c r="H53" s="33">
        <f t="shared" si="0"/>
        <v>0</v>
      </c>
    </row>
    <row r="54" spans="1:8" ht="18" customHeight="1" x14ac:dyDescent="0.2">
      <c r="A54" s="14"/>
      <c r="B54" s="14"/>
      <c r="H54" s="33">
        <f t="shared" si="0"/>
        <v>0</v>
      </c>
    </row>
    <row r="55" spans="1:8" ht="18" customHeight="1" x14ac:dyDescent="0.2">
      <c r="A55" s="14"/>
      <c r="B55" s="14"/>
      <c r="C55" s="3" t="s">
        <v>88</v>
      </c>
      <c r="D55" s="16" t="s">
        <v>41</v>
      </c>
      <c r="F55" s="1">
        <v>0</v>
      </c>
      <c r="G55" s="5">
        <v>0</v>
      </c>
      <c r="H55" s="33">
        <f t="shared" si="0"/>
        <v>0</v>
      </c>
    </row>
    <row r="56" spans="1:8" ht="18" customHeight="1" x14ac:dyDescent="0.2">
      <c r="A56" s="14"/>
      <c r="B56" s="14"/>
      <c r="C56" s="3" t="s">
        <v>89</v>
      </c>
      <c r="D56" s="16" t="s">
        <v>41</v>
      </c>
      <c r="F56" s="1">
        <v>0</v>
      </c>
      <c r="G56" s="5">
        <v>0</v>
      </c>
      <c r="H56" s="33">
        <f t="shared" si="0"/>
        <v>0</v>
      </c>
    </row>
    <row r="57" spans="1:8" ht="18" customHeight="1" x14ac:dyDescent="0.2">
      <c r="A57" s="14"/>
      <c r="B57" s="14"/>
      <c r="C57" s="3" t="s">
        <v>90</v>
      </c>
      <c r="D57" s="16" t="s">
        <v>41</v>
      </c>
      <c r="F57" s="1">
        <v>0</v>
      </c>
      <c r="G57" s="5">
        <v>0</v>
      </c>
      <c r="H57" s="33">
        <f t="shared" si="0"/>
        <v>0</v>
      </c>
    </row>
    <row r="58" spans="1:8" ht="18" customHeight="1" x14ac:dyDescent="0.2">
      <c r="A58" s="14"/>
      <c r="B58" s="14"/>
      <c r="C58" s="3" t="s">
        <v>91</v>
      </c>
      <c r="D58" s="16" t="s">
        <v>41</v>
      </c>
      <c r="F58" s="1">
        <v>0</v>
      </c>
      <c r="G58" s="5">
        <v>0</v>
      </c>
      <c r="H58" s="33">
        <f t="shared" si="0"/>
        <v>0</v>
      </c>
    </row>
    <row r="59" spans="1:8" ht="18" customHeight="1" x14ac:dyDescent="0.2">
      <c r="A59" s="14" t="s">
        <v>42</v>
      </c>
      <c r="B59" s="14" t="s">
        <v>38</v>
      </c>
      <c r="C59" s="3" t="s">
        <v>92</v>
      </c>
      <c r="D59" s="16" t="s">
        <v>41</v>
      </c>
      <c r="F59" s="1">
        <v>0</v>
      </c>
      <c r="G59" s="5">
        <v>0</v>
      </c>
      <c r="H59" s="33">
        <f t="shared" si="0"/>
        <v>0</v>
      </c>
    </row>
    <row r="60" spans="1:8" ht="18" customHeight="1" x14ac:dyDescent="0.2">
      <c r="A60" s="14"/>
      <c r="B60" s="14"/>
      <c r="C60" s="3" t="s">
        <v>93</v>
      </c>
      <c r="D60" s="16" t="s">
        <v>41</v>
      </c>
      <c r="F60" s="1">
        <v>0</v>
      </c>
      <c r="G60" s="5">
        <v>0</v>
      </c>
      <c r="H60" s="33">
        <f t="shared" si="0"/>
        <v>0</v>
      </c>
    </row>
    <row r="61" spans="1:8" ht="18" customHeight="1" x14ac:dyDescent="0.2">
      <c r="A61" s="14"/>
      <c r="B61" s="14"/>
    </row>
    <row r="62" spans="1:8" ht="18" customHeight="1" x14ac:dyDescent="0.2">
      <c r="A62" s="8" t="s">
        <v>44</v>
      </c>
      <c r="B62" s="8"/>
      <c r="C62" s="9" t="s">
        <v>94</v>
      </c>
      <c r="D62" s="10"/>
      <c r="E62" s="10"/>
      <c r="F62" s="11"/>
      <c r="G62" s="12"/>
      <c r="H62" s="13">
        <f ca="1">+H11+H16</f>
        <v>11489350.988597285</v>
      </c>
    </row>
    <row r="63" spans="1:8" ht="18" customHeight="1" x14ac:dyDescent="0.2">
      <c r="A63" s="14"/>
      <c r="B63" s="14"/>
    </row>
    <row r="64" spans="1:8" ht="18" customHeight="1" x14ac:dyDescent="0.2">
      <c r="A64" s="8" t="s">
        <v>95</v>
      </c>
      <c r="B64" s="8"/>
      <c r="C64" s="9" t="s">
        <v>96</v>
      </c>
      <c r="D64" s="10"/>
      <c r="E64" s="10"/>
      <c r="F64" s="11"/>
      <c r="G64" s="12"/>
      <c r="H64" s="13">
        <f ca="1">+H65</f>
        <v>2068083.1779475114</v>
      </c>
    </row>
    <row r="65" spans="1:8" ht="18" customHeight="1" x14ac:dyDescent="0.2">
      <c r="A65" s="14" t="s">
        <v>95</v>
      </c>
      <c r="B65" s="14" t="s">
        <v>38</v>
      </c>
      <c r="C65" s="3" t="s">
        <v>96</v>
      </c>
      <c r="D65" s="16" t="s">
        <v>97</v>
      </c>
      <c r="F65" s="1">
        <v>18</v>
      </c>
      <c r="H65" s="5">
        <f ca="1">+(H62*F65/100)</f>
        <v>2068083.1779475114</v>
      </c>
    </row>
    <row r="66" spans="1:8" ht="18" customHeight="1" x14ac:dyDescent="0.2">
      <c r="A66" s="14"/>
      <c r="B66" s="14"/>
    </row>
    <row r="67" spans="1:8" ht="18" customHeight="1" x14ac:dyDescent="0.2">
      <c r="A67" s="8" t="s">
        <v>98</v>
      </c>
      <c r="B67" s="8"/>
      <c r="C67" s="9" t="s">
        <v>99</v>
      </c>
      <c r="D67" s="10"/>
      <c r="E67" s="10"/>
      <c r="F67" s="11"/>
      <c r="G67" s="12"/>
      <c r="H67" s="13">
        <f ca="1">+H64+H62</f>
        <v>13557434.166544797</v>
      </c>
    </row>
    <row r="68" spans="1:8" ht="18" customHeight="1" x14ac:dyDescent="0.2">
      <c r="A68" s="14"/>
      <c r="B68" s="14"/>
    </row>
    <row r="69" spans="1:8" ht="18" customHeight="1" x14ac:dyDescent="0.2">
      <c r="A69" s="8" t="s">
        <v>100</v>
      </c>
      <c r="B69" s="8"/>
      <c r="C69" s="9" t="s">
        <v>101</v>
      </c>
      <c r="D69" s="10"/>
      <c r="E69" s="10"/>
      <c r="F69" s="11"/>
      <c r="G69" s="12"/>
      <c r="H69" s="13">
        <f ca="1">+H70+H71</f>
        <v>4067230.2499634391</v>
      </c>
    </row>
    <row r="70" spans="1:8" ht="18" customHeight="1" x14ac:dyDescent="0.2">
      <c r="A70" s="14" t="s">
        <v>100</v>
      </c>
      <c r="B70" s="14" t="s">
        <v>38</v>
      </c>
      <c r="C70" s="3" t="s">
        <v>101</v>
      </c>
      <c r="D70" s="16" t="s">
        <v>97</v>
      </c>
      <c r="F70" s="1">
        <v>30</v>
      </c>
      <c r="G70" s="25"/>
      <c r="H70" s="5">
        <f ca="1">+H67*F70/100</f>
        <v>4067230.2499634391</v>
      </c>
    </row>
    <row r="71" spans="1:8" ht="18" customHeight="1" x14ac:dyDescent="0.2">
      <c r="A71" s="14" t="s">
        <v>100</v>
      </c>
      <c r="B71" s="14" t="s">
        <v>42</v>
      </c>
      <c r="C71" s="3" t="s">
        <v>102</v>
      </c>
      <c r="D71" s="16" t="s">
        <v>97</v>
      </c>
      <c r="H71" s="5">
        <f ca="1">+H67*F71/100</f>
        <v>0</v>
      </c>
    </row>
    <row r="72" spans="1:8" ht="18" customHeight="1" x14ac:dyDescent="0.2">
      <c r="A72" s="14"/>
      <c r="B72" s="14"/>
    </row>
    <row r="73" spans="1:8" ht="18" customHeight="1" x14ac:dyDescent="0.2">
      <c r="A73" s="8" t="s">
        <v>103</v>
      </c>
      <c r="B73" s="8"/>
      <c r="C73" s="9" t="s">
        <v>104</v>
      </c>
      <c r="D73" s="10"/>
      <c r="E73" s="10"/>
      <c r="F73" s="11"/>
      <c r="G73" s="12"/>
      <c r="H73" s="13">
        <f ca="1">+H67+H69</f>
        <v>17624664.416508235</v>
      </c>
    </row>
    <row r="74" spans="1:8" ht="18" customHeight="1" x14ac:dyDescent="0.2">
      <c r="A74" s="14"/>
      <c r="B74" s="14"/>
    </row>
    <row r="75" spans="1:8" ht="18" customHeight="1" x14ac:dyDescent="0.2">
      <c r="A75" s="8" t="s">
        <v>105</v>
      </c>
      <c r="B75" s="8"/>
      <c r="C75" s="9" t="s">
        <v>106</v>
      </c>
      <c r="D75" s="10"/>
      <c r="E75" s="10"/>
      <c r="F75" s="11"/>
      <c r="G75" s="12"/>
      <c r="H75" s="13">
        <f ca="1">+H76+H77</f>
        <v>440616.61041270586</v>
      </c>
    </row>
    <row r="76" spans="1:8" ht="18" customHeight="1" x14ac:dyDescent="0.2">
      <c r="A76" s="14"/>
      <c r="B76" s="14"/>
      <c r="C76" s="3" t="s">
        <v>107</v>
      </c>
      <c r="D76" s="16" t="s">
        <v>97</v>
      </c>
      <c r="F76" s="1">
        <v>2.5</v>
      </c>
      <c r="H76" s="5">
        <f ca="1">+H73*F76/100</f>
        <v>440616.61041270586</v>
      </c>
    </row>
    <row r="77" spans="1:8" ht="18" customHeight="1" x14ac:dyDescent="0.2">
      <c r="A77" s="14"/>
      <c r="B77" s="14"/>
    </row>
    <row r="78" spans="1:8" ht="18" customHeight="1" x14ac:dyDescent="0.2">
      <c r="A78" s="8" t="s">
        <v>105</v>
      </c>
      <c r="B78" s="8"/>
      <c r="C78" s="9" t="s">
        <v>108</v>
      </c>
      <c r="D78" s="10"/>
      <c r="E78" s="10"/>
      <c r="F78" s="11"/>
      <c r="G78" s="12"/>
      <c r="H78" s="13">
        <f ca="1">+H73+H75</f>
        <v>18065281.026920941</v>
      </c>
    </row>
    <row r="79" spans="1:8" ht="18" customHeight="1" x14ac:dyDescent="0.2">
      <c r="A79" s="14"/>
      <c r="B79" s="14"/>
    </row>
    <row r="80" spans="1:8" ht="18" customHeight="1" x14ac:dyDescent="0.2">
      <c r="A80" s="8" t="s">
        <v>105</v>
      </c>
      <c r="B80" s="8"/>
      <c r="C80" s="9" t="s">
        <v>106</v>
      </c>
      <c r="D80" s="10"/>
      <c r="E80" s="10"/>
      <c r="F80" s="11"/>
      <c r="G80" s="12"/>
      <c r="H80" s="13">
        <f ca="1">+H81</f>
        <v>3701179.5274667293</v>
      </c>
    </row>
    <row r="81" spans="1:8" ht="18" customHeight="1" x14ac:dyDescent="0.2">
      <c r="A81" s="14"/>
      <c r="B81" s="14"/>
      <c r="C81" s="3" t="s">
        <v>109</v>
      </c>
      <c r="D81" s="16" t="s">
        <v>97</v>
      </c>
      <c r="F81" s="1">
        <v>21</v>
      </c>
      <c r="H81" s="5">
        <f ca="1">+H73*F81/100</f>
        <v>3701179.5274667293</v>
      </c>
    </row>
    <row r="82" spans="1:8" ht="18" customHeight="1" x14ac:dyDescent="0.2">
      <c r="A82" s="14"/>
      <c r="B82" s="14"/>
    </row>
    <row r="83" spans="1:8" ht="18" customHeight="1" x14ac:dyDescent="0.2">
      <c r="A83" s="8" t="s">
        <v>110</v>
      </c>
      <c r="B83" s="8"/>
      <c r="C83" s="9" t="s">
        <v>111</v>
      </c>
      <c r="D83" s="10"/>
      <c r="E83" s="10"/>
      <c r="F83" s="11"/>
      <c r="G83" s="12"/>
      <c r="H83" s="13">
        <f ca="1">+H78+H80+0.01</f>
        <v>21766460.564387672</v>
      </c>
    </row>
    <row r="84" spans="1:8" ht="18" customHeight="1" x14ac:dyDescent="0.2">
      <c r="A84" s="14"/>
      <c r="B84" s="14"/>
    </row>
    <row r="85" spans="1:8" ht="18" customHeight="1" x14ac:dyDescent="0.2">
      <c r="A85" s="14"/>
      <c r="B85" s="14"/>
      <c r="G85" s="80" t="s">
        <v>126</v>
      </c>
      <c r="H85" s="5">
        <f ca="1">+H83/'Análisis de precios'!E11</f>
        <v>19859.909274076344</v>
      </c>
    </row>
    <row r="86" spans="1:8" ht="18" customHeight="1" x14ac:dyDescent="0.2">
      <c r="A86" s="14"/>
      <c r="B86" s="14"/>
      <c r="G86" s="80" t="s">
        <v>127</v>
      </c>
      <c r="H86" s="5">
        <f ca="1">+H85/1.105</f>
        <v>17972.768573824746</v>
      </c>
    </row>
    <row r="87" spans="1:8" ht="10.199999999999999" x14ac:dyDescent="0.2">
      <c r="F87" s="15"/>
      <c r="G87" s="15"/>
      <c r="H87" s="15"/>
    </row>
    <row r="88" spans="1:8" ht="10.199999999999999" x14ac:dyDescent="0.2">
      <c r="F88" s="15"/>
      <c r="G88" s="15"/>
      <c r="H88" s="15"/>
    </row>
    <row r="89" spans="1:8" ht="10.199999999999999" x14ac:dyDescent="0.2">
      <c r="F89" s="15"/>
      <c r="G89" s="15"/>
      <c r="H89" s="15"/>
    </row>
    <row r="90" spans="1:8" ht="10.199999999999999" x14ac:dyDescent="0.2">
      <c r="F90" s="15"/>
      <c r="G90" s="15"/>
      <c r="H90" s="15"/>
    </row>
    <row r="91" spans="1:8" ht="10.199999999999999" x14ac:dyDescent="0.2">
      <c r="G91" s="26"/>
      <c r="H91" s="15"/>
    </row>
    <row r="92" spans="1:8" ht="10.199999999999999" x14ac:dyDescent="0.2">
      <c r="G92" s="26"/>
      <c r="H92" s="15"/>
    </row>
    <row r="93" spans="1:8" ht="10.199999999999999" x14ac:dyDescent="0.2">
      <c r="G93" s="26"/>
      <c r="H93" s="15"/>
    </row>
    <row r="94" spans="1:8" ht="10.199999999999999" x14ac:dyDescent="0.2">
      <c r="G94" s="26"/>
      <c r="H94" s="15"/>
    </row>
    <row r="95" spans="1:8" ht="10.199999999999999" x14ac:dyDescent="0.2">
      <c r="G95" s="26"/>
      <c r="H95" s="1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B29C-4628-4F61-A530-EB58DC71F5A6}">
  <dimension ref="A1:P21"/>
  <sheetViews>
    <sheetView workbookViewId="0">
      <selection activeCell="D11" sqref="D11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  <col min="6" max="6" width="12.85546875" style="18" customWidth="1"/>
    <col min="7" max="7" width="15.28515625" style="17" customWidth="1"/>
  </cols>
  <sheetData>
    <row r="1" spans="1:16" s="15" customFormat="1" ht="44.25" customHeight="1" x14ac:dyDescent="0.2">
      <c r="A1" s="19"/>
      <c r="C1" s="16"/>
      <c r="D1" s="1"/>
      <c r="E1" s="1"/>
      <c r="F1" s="7"/>
      <c r="G1" s="5"/>
    </row>
    <row r="2" spans="1:16" s="15" customFormat="1" ht="12" x14ac:dyDescent="0.2">
      <c r="A2" s="21"/>
      <c r="C2" s="16"/>
      <c r="D2" s="1"/>
      <c r="E2" s="1"/>
      <c r="F2" s="7"/>
      <c r="G2" s="5"/>
    </row>
    <row r="3" spans="1:16" s="15" customFormat="1" x14ac:dyDescent="0.2">
      <c r="D3" s="16"/>
      <c r="E3" s="1"/>
      <c r="F3" s="5"/>
      <c r="G3" s="7"/>
    </row>
    <row r="4" spans="1:16" s="15" customFormat="1" x14ac:dyDescent="0.2">
      <c r="A4" s="15" t="s">
        <v>0</v>
      </c>
      <c r="B4" s="15" t="s">
        <v>1</v>
      </c>
      <c r="D4" s="16"/>
      <c r="E4" s="1"/>
      <c r="F4" s="5"/>
      <c r="G4" s="5"/>
      <c r="H4" s="7"/>
      <c r="I4" s="5"/>
      <c r="J4" s="5"/>
      <c r="K4" s="20"/>
      <c r="L4" s="20"/>
      <c r="M4" s="16"/>
      <c r="N4" s="16"/>
      <c r="O4" s="16"/>
      <c r="P4" s="16"/>
    </row>
    <row r="5" spans="1:16" s="15" customFormat="1" x14ac:dyDescent="0.2">
      <c r="A5" s="15" t="s">
        <v>2</v>
      </c>
      <c r="B5" t="s">
        <v>3</v>
      </c>
      <c r="D5" s="16"/>
      <c r="E5" s="1"/>
      <c r="F5" s="5"/>
      <c r="G5" s="5"/>
      <c r="H5" s="7"/>
      <c r="I5" s="5"/>
      <c r="J5" s="5"/>
      <c r="K5" s="20"/>
      <c r="L5" s="20"/>
      <c r="M5" s="16"/>
      <c r="N5" s="16"/>
      <c r="O5" s="16"/>
      <c r="P5" s="16"/>
    </row>
    <row r="6" spans="1:16" s="15" customFormat="1" x14ac:dyDescent="0.2">
      <c r="A6" s="15" t="s">
        <v>4</v>
      </c>
      <c r="B6" s="27">
        <v>45940</v>
      </c>
      <c r="D6" s="16"/>
      <c r="E6" s="1"/>
      <c r="F6" s="5"/>
      <c r="G6" s="5"/>
      <c r="H6" s="7"/>
      <c r="I6" s="5"/>
      <c r="J6" s="5"/>
      <c r="K6" s="20"/>
      <c r="L6" s="20"/>
      <c r="M6" s="16"/>
      <c r="N6" s="16"/>
      <c r="O6" s="16"/>
      <c r="P6" s="16"/>
    </row>
    <row r="7" spans="1:16" s="15" customFormat="1" x14ac:dyDescent="0.2">
      <c r="A7" s="15" t="s">
        <v>5</v>
      </c>
      <c r="B7" s="15" t="s">
        <v>6</v>
      </c>
      <c r="C7" s="3"/>
      <c r="D7" s="16"/>
      <c r="E7" s="7"/>
      <c r="F7" s="5"/>
      <c r="G7" s="5"/>
      <c r="H7" s="20"/>
      <c r="I7" s="20"/>
      <c r="J7" s="16"/>
      <c r="K7" s="16"/>
      <c r="L7" s="16"/>
      <c r="M7" s="16"/>
    </row>
    <row r="8" spans="1:16" s="37" customFormat="1" ht="18" customHeight="1" x14ac:dyDescent="0.2">
      <c r="A8" s="15" t="s">
        <v>7</v>
      </c>
      <c r="B8" s="15"/>
      <c r="C8" s="15"/>
      <c r="D8" s="34"/>
      <c r="E8" s="33"/>
      <c r="F8" s="33"/>
      <c r="G8" s="22"/>
    </row>
    <row r="9" spans="1:16" s="15" customFormat="1" x14ac:dyDescent="0.2">
      <c r="C9" s="3"/>
      <c r="D9" s="16"/>
      <c r="E9" s="1"/>
      <c r="F9" s="5"/>
      <c r="G9" s="7"/>
    </row>
    <row r="10" spans="1:16" s="36" customFormat="1" ht="26.25" customHeight="1" x14ac:dyDescent="0.2">
      <c r="A10" s="60" t="s">
        <v>8</v>
      </c>
      <c r="B10" s="60" t="s">
        <v>9</v>
      </c>
      <c r="C10" s="61" t="s">
        <v>10</v>
      </c>
      <c r="D10" s="62" t="s">
        <v>11</v>
      </c>
      <c r="E10" s="63" t="s">
        <v>12</v>
      </c>
      <c r="F10" s="64" t="s">
        <v>13</v>
      </c>
      <c r="G10" s="64" t="s">
        <v>14</v>
      </c>
    </row>
    <row r="11" spans="1:16" s="28" customFormat="1" ht="29.25" customHeight="1" x14ac:dyDescent="0.2">
      <c r="A11" s="72"/>
      <c r="B11" s="73" t="s">
        <v>21</v>
      </c>
      <c r="C11" s="74" t="s">
        <v>22</v>
      </c>
      <c r="D11" s="75" t="s">
        <v>23</v>
      </c>
      <c r="E11" s="76">
        <f>+'Análisis de precios'!E11</f>
        <v>1096</v>
      </c>
      <c r="F11" s="77" t="e">
        <f>'Análisis de precios'!G11*Cascada!#REF!</f>
        <v>#REF!</v>
      </c>
      <c r="G11" s="77" t="e">
        <f>+E11*F11</f>
        <v>#REF!</v>
      </c>
    </row>
    <row r="12" spans="1:16" ht="18" customHeight="1" x14ac:dyDescent="0.2">
      <c r="F12" s="65" t="s">
        <v>112</v>
      </c>
      <c r="G12" s="71" t="e">
        <f>SUM(G11:G11)</f>
        <v>#REF!</v>
      </c>
      <c r="I12">
        <v>1113000</v>
      </c>
    </row>
    <row r="13" spans="1:16" ht="18" customHeight="1" x14ac:dyDescent="0.2">
      <c r="A13" s="56" t="s">
        <v>113</v>
      </c>
    </row>
    <row r="14" spans="1:16" ht="18" customHeight="1" x14ac:dyDescent="0.2">
      <c r="A14" s="56" t="s">
        <v>114</v>
      </c>
    </row>
    <row r="15" spans="1:16" ht="18" customHeight="1" x14ac:dyDescent="0.2">
      <c r="A15" t="s">
        <v>115</v>
      </c>
    </row>
    <row r="16" spans="1:16" ht="18" customHeight="1" x14ac:dyDescent="0.2">
      <c r="A16" s="56" t="s">
        <v>116</v>
      </c>
    </row>
    <row r="17" spans="1:8" ht="18" customHeight="1" x14ac:dyDescent="0.2">
      <c r="A17" s="56" t="s">
        <v>117</v>
      </c>
    </row>
    <row r="18" spans="1:8" ht="18" customHeight="1" x14ac:dyDescent="0.2">
      <c r="A18" s="56" t="s">
        <v>118</v>
      </c>
    </row>
    <row r="19" spans="1:8" ht="18" customHeight="1" x14ac:dyDescent="0.2">
      <c r="A19" s="56" t="s">
        <v>119</v>
      </c>
    </row>
    <row r="21" spans="1:8" x14ac:dyDescent="0.2">
      <c r="G21" s="18"/>
      <c r="H21" s="1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0F72-4306-4BA2-8EAD-1D168EBF191C}">
  <dimension ref="A1:N12"/>
  <sheetViews>
    <sheetView topLeftCell="A2" workbookViewId="0">
      <selection activeCell="H5" sqref="H5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</cols>
  <sheetData>
    <row r="1" spans="1:14" s="15" customFormat="1" ht="44.25" customHeight="1" x14ac:dyDescent="0.2">
      <c r="A1" s="19"/>
      <c r="C1" s="16"/>
      <c r="D1" s="1"/>
      <c r="E1" s="1"/>
    </row>
    <row r="2" spans="1:14" s="15" customFormat="1" ht="12" x14ac:dyDescent="0.2">
      <c r="A2" s="21"/>
      <c r="C2" s="16"/>
      <c r="D2" s="1"/>
      <c r="E2" s="1"/>
    </row>
    <row r="3" spans="1:14" s="15" customFormat="1" x14ac:dyDescent="0.2">
      <c r="D3" s="16"/>
      <c r="E3" s="1"/>
    </row>
    <row r="4" spans="1:14" s="15" customFormat="1" x14ac:dyDescent="0.2">
      <c r="A4" s="15" t="s">
        <v>0</v>
      </c>
      <c r="B4" s="15" t="s">
        <v>1</v>
      </c>
      <c r="D4" s="16"/>
      <c r="E4" s="1"/>
      <c r="F4" s="7"/>
      <c r="G4" s="5"/>
      <c r="H4" s="5"/>
      <c r="I4" s="20"/>
      <c r="J4" s="20"/>
      <c r="K4" s="16"/>
      <c r="L4" s="16"/>
      <c r="M4" s="16"/>
      <c r="N4" s="16"/>
    </row>
    <row r="5" spans="1:14" s="15" customFormat="1" x14ac:dyDescent="0.2">
      <c r="A5" s="15" t="s">
        <v>2</v>
      </c>
      <c r="B5" t="s">
        <v>3</v>
      </c>
      <c r="D5" s="16"/>
      <c r="E5" s="1"/>
      <c r="F5" s="7"/>
      <c r="G5" s="5"/>
      <c r="H5" s="5"/>
      <c r="I5" s="20"/>
      <c r="J5" s="20"/>
      <c r="K5" s="16"/>
      <c r="L5" s="16"/>
      <c r="M5" s="16"/>
      <c r="N5" s="16"/>
    </row>
    <row r="6" spans="1:14" s="15" customFormat="1" x14ac:dyDescent="0.2">
      <c r="A6" s="15" t="s">
        <v>4</v>
      </c>
      <c r="B6" s="27">
        <v>45940</v>
      </c>
      <c r="D6" s="16"/>
      <c r="E6" s="1"/>
      <c r="F6" s="7"/>
      <c r="G6" s="5"/>
      <c r="H6" s="5"/>
      <c r="I6" s="20"/>
      <c r="J6" s="20"/>
      <c r="K6" s="16"/>
      <c r="L6" s="16"/>
      <c r="M6" s="16"/>
      <c r="N6" s="16"/>
    </row>
    <row r="7" spans="1:14" s="15" customFormat="1" x14ac:dyDescent="0.2">
      <c r="A7" s="15" t="s">
        <v>5</v>
      </c>
      <c r="B7" s="15" t="s">
        <v>6</v>
      </c>
      <c r="C7" s="3"/>
      <c r="D7" s="16"/>
      <c r="E7" s="7"/>
      <c r="F7" s="20"/>
      <c r="G7" s="20"/>
      <c r="H7" s="16"/>
      <c r="I7" s="16"/>
      <c r="J7" s="16"/>
      <c r="K7" s="16"/>
    </row>
    <row r="8" spans="1:14" s="37" customFormat="1" ht="18" customHeight="1" x14ac:dyDescent="0.2">
      <c r="A8" s="15" t="s">
        <v>7</v>
      </c>
      <c r="B8" s="15"/>
      <c r="C8" s="15"/>
      <c r="D8" s="34"/>
      <c r="E8" s="33"/>
    </row>
    <row r="9" spans="1:14" s="15" customFormat="1" x14ac:dyDescent="0.2">
      <c r="C9" s="3"/>
      <c r="D9" s="16"/>
      <c r="E9" s="1"/>
    </row>
    <row r="10" spans="1:14" s="36" customFormat="1" ht="26.25" customHeight="1" x14ac:dyDescent="0.2">
      <c r="A10" s="60" t="s">
        <v>8</v>
      </c>
      <c r="B10" s="60" t="s">
        <v>9</v>
      </c>
      <c r="C10" s="61" t="s">
        <v>10</v>
      </c>
      <c r="D10" s="62" t="s">
        <v>11</v>
      </c>
      <c r="E10" s="63" t="s">
        <v>12</v>
      </c>
      <c r="F10" s="81" t="s">
        <v>120</v>
      </c>
      <c r="G10" s="82"/>
      <c r="H10" s="82"/>
      <c r="I10" s="82"/>
      <c r="J10" s="82"/>
      <c r="K10" s="82"/>
    </row>
    <row r="11" spans="1:14" s="28" customFormat="1" ht="29.25" customHeight="1" x14ac:dyDescent="0.2">
      <c r="A11" s="72"/>
      <c r="B11" s="73" t="s">
        <v>21</v>
      </c>
      <c r="C11" s="74" t="s">
        <v>22</v>
      </c>
      <c r="D11" s="75" t="s">
        <v>23</v>
      </c>
      <c r="E11" s="76">
        <f>+'Análisis de precios'!E11</f>
        <v>1096</v>
      </c>
      <c r="F11" s="83"/>
      <c r="G11" s="82"/>
      <c r="H11" s="82"/>
      <c r="I11" s="82"/>
      <c r="J11" s="82"/>
      <c r="K11" s="82"/>
    </row>
    <row r="12" spans="1:14" ht="18" customHeight="1" x14ac:dyDescent="0.2"/>
  </sheetData>
  <mergeCells count="1">
    <mergeCell ref="F10:K1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23"/>
  <sheetViews>
    <sheetView workbookViewId="0">
      <selection activeCell="E14" sqref="E14"/>
    </sheetView>
  </sheetViews>
  <sheetFormatPr baseColWidth="10" defaultColWidth="12" defaultRowHeight="10.199999999999999" x14ac:dyDescent="0.2"/>
  <cols>
    <col min="1" max="2" width="12.85546875" customWidth="1"/>
    <col min="3" max="3" width="66.85546875" customWidth="1"/>
    <col min="4" max="4" width="12.85546875" style="23" customWidth="1"/>
    <col min="5" max="5" width="12.85546875" style="24" customWidth="1"/>
    <col min="6" max="6" width="12.85546875" style="18" customWidth="1"/>
    <col min="7" max="7" width="18.42578125" style="18" customWidth="1"/>
  </cols>
  <sheetData>
    <row r="1" spans="1:7" s="15" customFormat="1" ht="44.25" customHeight="1" x14ac:dyDescent="0.2">
      <c r="A1" s="19"/>
      <c r="C1" s="16"/>
      <c r="D1" s="1"/>
      <c r="E1" s="1"/>
      <c r="F1" s="7"/>
      <c r="G1" s="7"/>
    </row>
    <row r="2" spans="1:7" s="15" customFormat="1" ht="12" x14ac:dyDescent="0.2">
      <c r="A2" s="21"/>
      <c r="C2" s="16"/>
      <c r="D2" s="1"/>
      <c r="E2" s="1"/>
      <c r="F2" s="7"/>
      <c r="G2" s="7"/>
    </row>
    <row r="3" spans="1:7" s="15" customFormat="1" x14ac:dyDescent="0.2">
      <c r="D3" s="16"/>
      <c r="E3" s="1"/>
      <c r="F3" s="5"/>
      <c r="G3" s="5"/>
    </row>
    <row r="4" spans="1:7" s="15" customFormat="1" x14ac:dyDescent="0.2">
      <c r="A4" s="15" t="s">
        <v>0</v>
      </c>
      <c r="B4" s="15" t="s">
        <v>1</v>
      </c>
      <c r="D4" s="16"/>
      <c r="E4" s="1"/>
      <c r="F4" s="5"/>
      <c r="G4" s="5"/>
    </row>
    <row r="5" spans="1:7" s="15" customFormat="1" x14ac:dyDescent="0.2">
      <c r="A5" s="15" t="s">
        <v>2</v>
      </c>
      <c r="B5" t="s">
        <v>3</v>
      </c>
      <c r="D5" s="16"/>
      <c r="E5" s="1"/>
      <c r="F5" s="5"/>
      <c r="G5" s="5"/>
    </row>
    <row r="6" spans="1:7" s="15" customFormat="1" x14ac:dyDescent="0.2">
      <c r="A6" s="15" t="s">
        <v>4</v>
      </c>
      <c r="B6" s="27">
        <v>45940</v>
      </c>
      <c r="D6" s="16"/>
      <c r="E6" s="1"/>
      <c r="F6" s="5"/>
      <c r="G6" s="5"/>
    </row>
    <row r="7" spans="1:7" s="15" customFormat="1" x14ac:dyDescent="0.2">
      <c r="A7" s="15" t="s">
        <v>5</v>
      </c>
      <c r="B7" s="15" t="s">
        <v>6</v>
      </c>
      <c r="C7" s="3"/>
      <c r="D7" s="16"/>
      <c r="E7" s="7"/>
      <c r="F7" s="5"/>
      <c r="G7" s="5"/>
    </row>
    <row r="8" spans="1:7" s="37" customFormat="1" ht="18" customHeight="1" x14ac:dyDescent="0.2">
      <c r="A8" s="15" t="s">
        <v>7</v>
      </c>
      <c r="B8" s="15"/>
      <c r="C8" s="15"/>
      <c r="D8" s="34"/>
      <c r="E8" s="33"/>
      <c r="F8" s="33"/>
      <c r="G8" s="33"/>
    </row>
    <row r="9" spans="1:7" s="15" customFormat="1" x14ac:dyDescent="0.2">
      <c r="C9" s="3"/>
      <c r="D9" s="16"/>
      <c r="E9" s="1"/>
      <c r="F9" s="5"/>
      <c r="G9" s="5"/>
    </row>
    <row r="10" spans="1:7" s="36" customFormat="1" ht="26.25" customHeight="1" x14ac:dyDescent="0.2">
      <c r="A10" s="60" t="s">
        <v>8</v>
      </c>
      <c r="B10" s="60" t="s">
        <v>9</v>
      </c>
      <c r="C10" s="61" t="s">
        <v>10</v>
      </c>
      <c r="D10" s="62" t="s">
        <v>11</v>
      </c>
      <c r="E10" s="63" t="s">
        <v>12</v>
      </c>
      <c r="F10" s="64"/>
      <c r="G10" s="64" t="s">
        <v>13</v>
      </c>
    </row>
    <row r="11" spans="1:7" s="37" customFormat="1" ht="18" customHeight="1" x14ac:dyDescent="0.2">
      <c r="A11" s="53" t="s">
        <v>27</v>
      </c>
      <c r="B11" s="66"/>
      <c r="C11" s="67" t="s">
        <v>28</v>
      </c>
      <c r="D11" s="68" t="s">
        <v>29</v>
      </c>
      <c r="E11" s="69">
        <f ca="1">SUMIF('Análisis de precios'!C10:P14,C11,'Análisis de precios'!N10:$N$14)</f>
        <v>48</v>
      </c>
      <c r="F11" s="70">
        <v>7224.61</v>
      </c>
      <c r="G11" s="70">
        <f ca="1">+E11*F11</f>
        <v>346781.27999999997</v>
      </c>
    </row>
    <row r="12" spans="1:7" s="37" customFormat="1" ht="18" customHeight="1" x14ac:dyDescent="0.2">
      <c r="A12" s="53" t="s">
        <v>27</v>
      </c>
      <c r="B12" s="66"/>
      <c r="C12" s="67" t="s">
        <v>30</v>
      </c>
      <c r="D12" s="68" t="s">
        <v>29</v>
      </c>
      <c r="E12" s="69">
        <f ca="1">SUMIF('Análisis de precios'!C11:P15,C12,'Análisis de precios'!N11:$N$14)</f>
        <v>96</v>
      </c>
      <c r="F12" s="70">
        <v>5000</v>
      </c>
      <c r="G12" s="70">
        <f ca="1">+E12*F12</f>
        <v>480000</v>
      </c>
    </row>
    <row r="13" spans="1:7" s="37" customFormat="1" ht="18" customHeight="1" x14ac:dyDescent="0.2">
      <c r="A13" s="53" t="s">
        <v>31</v>
      </c>
      <c r="B13" s="67">
        <v>101001</v>
      </c>
      <c r="C13" s="67" t="s">
        <v>32</v>
      </c>
      <c r="D13" s="68" t="s">
        <v>33</v>
      </c>
      <c r="E13" s="69">
        <f>130*17*1.2</f>
        <v>2652</v>
      </c>
      <c r="F13" s="70">
        <f>5.1*1455</f>
        <v>7420.4999999999991</v>
      </c>
      <c r="G13" s="70">
        <f>+E13*F13</f>
        <v>19679165.999999996</v>
      </c>
    </row>
    <row r="14" spans="1:7" s="37" customFormat="1" ht="18" customHeight="1" x14ac:dyDescent="0.2">
      <c r="A14" s="53"/>
      <c r="B14" s="67"/>
      <c r="C14" s="67" t="s">
        <v>121</v>
      </c>
      <c r="D14" s="68" t="s">
        <v>122</v>
      </c>
      <c r="E14" s="69">
        <f ca="1">SUMIF('Análisis de precios'!C13:P17,C14,'Análisis de precios'!N13:$N$14)</f>
        <v>0.24796380090497738</v>
      </c>
      <c r="F14" s="70">
        <v>37000</v>
      </c>
      <c r="G14" s="70">
        <f ca="1">+E14*F14</f>
        <v>9174.6606334841636</v>
      </c>
    </row>
    <row r="15" spans="1:7" ht="18" customHeight="1" x14ac:dyDescent="0.2">
      <c r="F15" s="78" t="s">
        <v>112</v>
      </c>
      <c r="G15" s="78">
        <f ca="1">SUM(G11:G14)</f>
        <v>20515121.940633483</v>
      </c>
    </row>
    <row r="16" spans="1:7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</sheetData>
  <pageMargins left="0.7" right="0.7" top="0.75" bottom="0.75" header="0.3" footer="0.3"/>
  <pageSetup paperSize="9" fitToWidth="0" fitToHeight="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9647-E66C-4476-8C80-EA432E014705}">
  <dimension ref="A1:B1"/>
  <sheetViews>
    <sheetView workbookViewId="0">
      <selection activeCell="A2" sqref="A2"/>
    </sheetView>
  </sheetViews>
  <sheetFormatPr baseColWidth="10" defaultRowHeight="18" customHeight="1" x14ac:dyDescent="0.2"/>
  <cols>
    <col min="1" max="16384" width="11.42578125" style="16"/>
  </cols>
  <sheetData>
    <row r="1" spans="1:2" ht="18" customHeight="1" x14ac:dyDescent="0.2">
      <c r="A1" s="16" t="s">
        <v>124</v>
      </c>
      <c r="B1" s="16" t="s">
        <v>123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1992123F3ED4458D211F3215D79855" ma:contentTypeVersion="12" ma:contentTypeDescription="Crear nuevo documento." ma:contentTypeScope="" ma:versionID="3ec78013fdfe534af527891298d4da4a">
  <xsd:schema xmlns:xsd="http://www.w3.org/2001/XMLSchema" xmlns:xs="http://www.w3.org/2001/XMLSchema" xmlns:p="http://schemas.microsoft.com/office/2006/metadata/properties" xmlns:ns2="403d9627-c9d7-46e7-8017-e32baaff6d78" xmlns:ns3="a5716b0a-2c4e-4acc-bcd6-6466f35c189e" targetNamespace="http://schemas.microsoft.com/office/2006/metadata/properties" ma:root="true" ma:fieldsID="26c75f4f0edf87eb780dae8e1f7fd93c" ns2:_="" ns3:_="">
    <xsd:import namespace="403d9627-c9d7-46e7-8017-e32baaff6d78"/>
    <xsd:import namespace="a5716b0a-2c4e-4acc-bcd6-6466f35c18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d9627-c9d7-46e7-8017-e32baaff6d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0202c90-e0a5-4dd3-83f4-bedda3fd8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16b0a-2c4e-4acc-bcd6-6466f35c18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f82eac-4892-4499-97e5-748f0a1032b7}" ma:internalName="TaxCatchAll" ma:showField="CatchAllData" ma:web="a5716b0a-2c4e-4acc-bcd6-6466f35c18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3d9627-c9d7-46e7-8017-e32baaff6d78">
      <Terms xmlns="http://schemas.microsoft.com/office/infopath/2007/PartnerControls"/>
    </lcf76f155ced4ddcb4097134ff3c332f>
    <TaxCatchAll xmlns="a5716b0a-2c4e-4acc-bcd6-6466f35c189e" xsi:nil="true"/>
  </documentManagement>
</p:properties>
</file>

<file path=customXml/itemProps1.xml><?xml version="1.0" encoding="utf-8"?>
<ds:datastoreItem xmlns:ds="http://schemas.openxmlformats.org/officeDocument/2006/customXml" ds:itemID="{03403359-0361-47E8-92DE-7EE45A84A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72C1E4-C7C6-4EA0-BA81-0F97D67B5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d9627-c9d7-46e7-8017-e32baaff6d78"/>
    <ds:schemaRef ds:uri="a5716b0a-2c4e-4acc-bcd6-6466f35c18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CB8B7E-62B1-4860-8FC1-3AFD09FEB388}">
  <ds:schemaRefs>
    <ds:schemaRef ds:uri="http://schemas.microsoft.com/office/2006/metadata/properties"/>
    <ds:schemaRef ds:uri="http://schemas.microsoft.com/office/infopath/2007/PartnerControls"/>
    <ds:schemaRef ds:uri="05c4b2f2-e7fe-472d-91b0-057ba03b10e8"/>
    <ds:schemaRef ds:uri="9a596f3c-466b-4833-ade8-25dba75eaf48"/>
    <ds:schemaRef ds:uri="403d9627-c9d7-46e7-8017-e32baaff6d78"/>
    <ds:schemaRef ds:uri="a5716b0a-2c4e-4acc-bcd6-6466f35c18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Análisis de precios</vt:lpstr>
      <vt:lpstr>Cascada</vt:lpstr>
      <vt:lpstr>Precio</vt:lpstr>
      <vt:lpstr>Programa de trabajo</vt:lpstr>
      <vt:lpstr>Insumos</vt:lpstr>
      <vt:lpstr>Tabla de precios por m2 y km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 Boggio</dc:creator>
  <cp:keywords/>
  <dc:description/>
  <cp:lastModifiedBy>Mariano Vispo</cp:lastModifiedBy>
  <cp:revision/>
  <dcterms:created xsi:type="dcterms:W3CDTF">2016-05-19T21:58:14Z</dcterms:created>
  <dcterms:modified xsi:type="dcterms:W3CDTF">2026-04-23T14:34:52Z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0x0101008B1992123F3ED4458D211F3215D79855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