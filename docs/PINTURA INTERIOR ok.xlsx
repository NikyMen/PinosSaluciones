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inosolucionestecnicas733.sharepoint.com/sites/PINOSolucionesTcnicas/Documentos compartidos/COTIZACIONES/COT_-ANALISIS GENERALES/"/>
    </mc:Choice>
  </mc:AlternateContent>
  <xr:revisionPtr revIDLastSave="346" documentId="8_{EDCD9ED6-9DDA-4EA1-A5B2-E6799BB8FA2A}" xr6:coauthVersionLast="47" xr6:coauthVersionMax="47" xr10:uidLastSave="{296BDA7A-E4A4-4681-906C-E838778A6800}"/>
  <bookViews>
    <workbookView xWindow="-108" yWindow="-108" windowWidth="23256" windowHeight="12456" xr2:uid="{00000000-000D-0000-FFFF-FFFF00000000}"/>
  </bookViews>
  <sheets>
    <sheet name="Análisis de precios" sheetId="8" r:id="rId1"/>
    <sheet name="Cascada" sheetId="2" r:id="rId2"/>
    <sheet name="Precio" sheetId="14" r:id="rId3"/>
    <sheet name="Programa de trabajo" sheetId="15" r:id="rId4"/>
    <sheet name="Insumos" sheetId="7" r:id="rId5"/>
  </sheets>
  <definedNames>
    <definedName name="_xlnm._FilterDatabase" localSheetId="0" hidden="1">'Análisis de precios'!$A$10:$Q$16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8" l="1"/>
  <c r="O19" i="8"/>
  <c r="P19" i="8"/>
  <c r="G19" i="8"/>
  <c r="E19" i="8"/>
  <c r="E17" i="8"/>
  <c r="F17" i="7"/>
  <c r="F13" i="7"/>
  <c r="F14" i="8"/>
  <c r="F18" i="8"/>
  <c r="G18" i="8" s="1"/>
  <c r="N18" i="8"/>
  <c r="O18" i="8"/>
  <c r="P18" i="8"/>
  <c r="E16" i="8"/>
  <c r="N16" i="8"/>
  <c r="N17" i="8"/>
  <c r="E12" i="8"/>
  <c r="E35" i="2"/>
  <c r="E34" i="2"/>
  <c r="N14" i="8"/>
  <c r="N15" i="8"/>
  <c r="N13" i="8"/>
  <c r="B5" i="2" l="1"/>
  <c r="B6" i="2"/>
  <c r="B7" i="2"/>
  <c r="B4" i="2"/>
  <c r="G12" i="8" l="1"/>
  <c r="O12" i="8"/>
  <c r="O13" i="8"/>
  <c r="P13" i="8" s="1"/>
  <c r="G14" i="8"/>
  <c r="O14" i="8"/>
  <c r="P14" i="8" s="1"/>
  <c r="G13" i="8" l="1"/>
  <c r="N12" i="8"/>
  <c r="R12" i="8" s="1"/>
  <c r="S12" i="8" s="1"/>
  <c r="S15" i="8" s="1"/>
  <c r="G15" i="8"/>
  <c r="G11" i="8" s="1"/>
  <c r="P12" i="8" l="1"/>
  <c r="F13" i="2" l="1"/>
  <c r="O15" i="8"/>
  <c r="P15" i="8" s="1"/>
  <c r="P20" i="8" s="1"/>
  <c r="O16" i="8"/>
  <c r="P16" i="8" s="1"/>
  <c r="O17" i="8"/>
  <c r="P17" i="8" s="1"/>
  <c r="F12" i="2" l="1"/>
  <c r="G17" i="8"/>
  <c r="G16" i="8"/>
  <c r="G38" i="2"/>
  <c r="H11" i="8" l="1"/>
  <c r="G12" i="2"/>
  <c r="G34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5" i="2"/>
  <c r="G37" i="2"/>
  <c r="G39" i="2"/>
  <c r="G40" i="2"/>
  <c r="G42" i="2"/>
  <c r="G43" i="2"/>
  <c r="G44" i="2"/>
  <c r="G45" i="2"/>
  <c r="G46" i="2"/>
  <c r="G47" i="2"/>
  <c r="G48" i="2"/>
  <c r="G50" i="2"/>
  <c r="G51" i="2"/>
  <c r="G52" i="2"/>
  <c r="G53" i="2"/>
  <c r="G54" i="2"/>
  <c r="G55" i="2"/>
  <c r="G56" i="2"/>
  <c r="G57" i="2"/>
  <c r="G58" i="2"/>
  <c r="G59" i="2"/>
  <c r="G60" i="2"/>
  <c r="G61" i="2"/>
  <c r="G17" i="2"/>
  <c r="E11" i="7" l="1"/>
  <c r="G11" i="7" s="1"/>
  <c r="H20" i="8"/>
  <c r="F49" i="2"/>
  <c r="E12" i="7" l="1"/>
  <c r="G12" i="7" s="1"/>
  <c r="E18" i="7"/>
  <c r="G18" i="7" s="1"/>
  <c r="E17" i="7"/>
  <c r="G17" i="7" s="1"/>
  <c r="E16" i="7"/>
  <c r="G16" i="7" s="1"/>
  <c r="E14" i="7"/>
  <c r="G14" i="7" s="1"/>
  <c r="E15" i="7"/>
  <c r="G15" i="7" s="1"/>
  <c r="E13" i="7"/>
  <c r="G13" i="7" s="1"/>
  <c r="G49" i="2"/>
  <c r="G16" i="2" s="1"/>
  <c r="F14" i="2"/>
  <c r="G14" i="2" s="1"/>
  <c r="G19" i="7" l="1"/>
  <c r="G13" i="2"/>
  <c r="G11" i="2" l="1"/>
  <c r="H16" i="2" s="1"/>
  <c r="G63" i="2" l="1"/>
  <c r="G66" i="2" s="1"/>
  <c r="G65" i="2" s="1"/>
  <c r="G68" i="2" l="1"/>
  <c r="G72" i="2" s="1"/>
  <c r="G71" i="2" l="1"/>
  <c r="G70" i="2" l="1"/>
  <c r="G74" i="2" s="1"/>
  <c r="K75" i="2" s="1"/>
  <c r="G82" i="2" l="1"/>
  <c r="G81" i="2" s="1"/>
  <c r="G77" i="2"/>
  <c r="G76" i="2" s="1"/>
  <c r="G79" i="2" l="1"/>
  <c r="G84" i="2" s="1"/>
  <c r="I84" i="2" l="1"/>
  <c r="H12" i="2"/>
  <c r="H13" i="2"/>
  <c r="K79" i="2"/>
  <c r="H84" i="2"/>
  <c r="F11" i="14" s="1"/>
  <c r="G11" i="14" s="1"/>
  <c r="G12" i="14" s="1"/>
  <c r="I12" i="2" l="1"/>
  <c r="I13" i="2"/>
</calcChain>
</file>

<file path=xl/sharedStrings.xml><?xml version="1.0" encoding="utf-8"?>
<sst xmlns="http://schemas.openxmlformats.org/spreadsheetml/2006/main" count="289" uniqueCount="141">
  <si>
    <t>CLIENTE:</t>
  </si>
  <si>
    <t xml:space="preserve">ANALISIS DE PRECIO GENERAL CON LA PINTURA INTERIOR DE PINO </t>
  </si>
  <si>
    <t>OBRA:</t>
  </si>
  <si>
    <t>TRABAJOS INTERIOR DE PINTURA EN ESCALERA (PAREDES Y PISOS) Y PINTURA SINTETICA EN BARANDAS</t>
  </si>
  <si>
    <t>FECHA:</t>
  </si>
  <si>
    <t>CONTACTO:</t>
  </si>
  <si>
    <t xml:space="preserve">PINO SOLUCIONES TECNICAS </t>
  </si>
  <si>
    <t>ANÁLISIS DE PRECIOS</t>
  </si>
  <si>
    <t>RUBRO</t>
  </si>
  <si>
    <t>ÍTEM</t>
  </si>
  <si>
    <t>DENOMINACIÓN</t>
  </si>
  <si>
    <t>UNIDAD</t>
  </si>
  <si>
    <t>CANTIDAD</t>
  </si>
  <si>
    <t>PRECIO UNITARIO</t>
  </si>
  <si>
    <t>PRECIO PARCIAL</t>
  </si>
  <si>
    <t>PRECIO RUBRO</t>
  </si>
  <si>
    <t>% ITEM</t>
  </si>
  <si>
    <t>% RUBRO</t>
  </si>
  <si>
    <t>Cantidad parcial</t>
  </si>
  <si>
    <t>Precio unitario</t>
  </si>
  <si>
    <t>Precio parcial</t>
  </si>
  <si>
    <t>1.1.</t>
  </si>
  <si>
    <t>APLICACIÓN DE PINTURA LATEX EN INTERIOR PAREDES ESCALERA</t>
  </si>
  <si>
    <t>M2</t>
  </si>
  <si>
    <t>PERSONAS</t>
  </si>
  <si>
    <t>DIAS TOT</t>
  </si>
  <si>
    <t xml:space="preserve">DIAS DE TRABAJO </t>
  </si>
  <si>
    <t>MO</t>
  </si>
  <si>
    <t xml:space="preserve">Oficial a nivel </t>
  </si>
  <si>
    <t>hs</t>
  </si>
  <si>
    <t>MAT</t>
  </si>
  <si>
    <t>Lija al agua Nro 80</t>
  </si>
  <si>
    <t>U</t>
  </si>
  <si>
    <t>Fijador al agua x 1 lt</t>
  </si>
  <si>
    <t>lts</t>
  </si>
  <si>
    <t>Albalatex Interior BLANCO x 1 lt</t>
  </si>
  <si>
    <t>Pinceleta Nro 40</t>
  </si>
  <si>
    <t>Rodillo antigota 20 cm</t>
  </si>
  <si>
    <t xml:space="preserve">Enduido Plástico x 1 kg </t>
  </si>
  <si>
    <t>kg</t>
  </si>
  <si>
    <t>ITEM</t>
  </si>
  <si>
    <t>DENOMINACION</t>
  </si>
  <si>
    <t>PRECIO UNIT SIN IVA</t>
  </si>
  <si>
    <t>PRECIO PARCIAL SIN IVA</t>
  </si>
  <si>
    <t>1</t>
  </si>
  <si>
    <t>COSTO - COSTO</t>
  </si>
  <si>
    <t>MATERIALES</t>
  </si>
  <si>
    <t>GL</t>
  </si>
  <si>
    <t>2</t>
  </si>
  <si>
    <t>MANO DE OBRA</t>
  </si>
  <si>
    <t>3</t>
  </si>
  <si>
    <t>EQUIPOS</t>
  </si>
  <si>
    <t>GASTOS GENERALES DIRECTOS</t>
  </si>
  <si>
    <t>Sueldos / Honorarios de Dirección de Obra</t>
  </si>
  <si>
    <t xml:space="preserve">Mes </t>
  </si>
  <si>
    <t>Viáticos de Dirección de Obra</t>
  </si>
  <si>
    <t xml:space="preserve">Dia </t>
  </si>
  <si>
    <t>Alojamiento para Dirección de Obra</t>
  </si>
  <si>
    <t>Combustible para movilidad de Dirección de Obra</t>
  </si>
  <si>
    <t>Km</t>
  </si>
  <si>
    <t>Mantenimiento vehicular de Dirección de Obra</t>
  </si>
  <si>
    <t xml:space="preserve">Km </t>
  </si>
  <si>
    <t>Pasajes para Dirección de Obra</t>
  </si>
  <si>
    <t>Gastos varios de movilidad -Estacionamiento, peajes, etc-</t>
  </si>
  <si>
    <t>Librería</t>
  </si>
  <si>
    <t>Seguros para Dirección de Obra</t>
  </si>
  <si>
    <t>Indumentaria y EPP para Dirección de Obra</t>
  </si>
  <si>
    <t>JUEGO</t>
  </si>
  <si>
    <t>Viáticos del personal operativo</t>
  </si>
  <si>
    <t>DIA</t>
  </si>
  <si>
    <t>Alojamiento para personal operativo</t>
  </si>
  <si>
    <t>Combustible para movilidad de personal operativo</t>
  </si>
  <si>
    <t>KM</t>
  </si>
  <si>
    <t>Mantenimiento vehicular para personal operativo</t>
  </si>
  <si>
    <t xml:space="preserve">KM </t>
  </si>
  <si>
    <t>Pasajes para personal operativo</t>
  </si>
  <si>
    <t>Seguros para el personal operativo</t>
  </si>
  <si>
    <t>MES</t>
  </si>
  <si>
    <t>Indumentaria y EPP para el personal operativo</t>
  </si>
  <si>
    <t>Programa de Higiene y Seguridad</t>
  </si>
  <si>
    <t>Permiso de obra</t>
  </si>
  <si>
    <t xml:space="preserve">DIA </t>
  </si>
  <si>
    <t>Sueldos / Honorarios de Resposable de Higiene y Seguridad</t>
  </si>
  <si>
    <t>Elementos de señalización</t>
  </si>
  <si>
    <t>Fletes de materiales</t>
  </si>
  <si>
    <t>Viáticos de chóferes</t>
  </si>
  <si>
    <t>Alojamiento de chóferes</t>
  </si>
  <si>
    <t>Mantenimiento vehicular para personal de compras</t>
  </si>
  <si>
    <t>Pasajes para personal de compras</t>
  </si>
  <si>
    <t>Impuesto al cheque</t>
  </si>
  <si>
    <t>Sueldo / Honorarios de Pañolero</t>
  </si>
  <si>
    <t>Viáticos de Pañolero</t>
  </si>
  <si>
    <t>Alojamiento para Pañolero</t>
  </si>
  <si>
    <t>Gastos de movilidad de Pañolero</t>
  </si>
  <si>
    <t>Sellados</t>
  </si>
  <si>
    <t>Garantías para la Oferta</t>
  </si>
  <si>
    <t>Garantías para la Ejecución</t>
  </si>
  <si>
    <t>Fondo de Reparo</t>
  </si>
  <si>
    <t>Impresiones y Librería para presentación de ofertas</t>
  </si>
  <si>
    <t xml:space="preserve">Representacion Tecnica </t>
  </si>
  <si>
    <t>COSTO</t>
  </si>
  <si>
    <t>4</t>
  </si>
  <si>
    <t>GASTOS GENERALES INDIRECTOS</t>
  </si>
  <si>
    <t>%</t>
  </si>
  <si>
    <t>5</t>
  </si>
  <si>
    <t>SUB TOTAL 1</t>
  </si>
  <si>
    <t>6</t>
  </si>
  <si>
    <t>BENEFICIOS</t>
  </si>
  <si>
    <t>COSTO FINANCIERO</t>
  </si>
  <si>
    <t>7</t>
  </si>
  <si>
    <t>SUB TOTAL 2</t>
  </si>
  <si>
    <t>x M2</t>
  </si>
  <si>
    <t>8</t>
  </si>
  <si>
    <t>IMPUESTOS</t>
  </si>
  <si>
    <t xml:space="preserve">INGRESOS BRUTOS </t>
  </si>
  <si>
    <t>SUB TOTAL 3</t>
  </si>
  <si>
    <t>IVA</t>
  </si>
  <si>
    <t>9</t>
  </si>
  <si>
    <t>PRECIO</t>
  </si>
  <si>
    <t xml:space="preserve">con iva </t>
  </si>
  <si>
    <t>precio antiguo</t>
  </si>
  <si>
    <t>TOTAL</t>
  </si>
  <si>
    <t>DESCRIPCIÓN DE LOS TRABAJOS A REALIZAR</t>
  </si>
  <si>
    <t>Objeto del servicio:</t>
  </si>
  <si>
    <t>Provisión de mano de obra especializada para la ejecución de trabajos de pintura interior en el sector de escalera del edificio.</t>
  </si>
  <si>
    <t>Áreas a intervenir:</t>
  </si>
  <si>
    <t>Cielorrasos del sector de escalera.</t>
  </si>
  <si>
    <t>Paredes interiores del sector mencionado.</t>
  </si>
  <si>
    <t>Observaciones:</t>
  </si>
  <si>
    <t>Quedan expresamente excluidos de este presupuesto los siguientes elementos:</t>
  </si>
  <si>
    <t>Pintura de barandas.</t>
  </si>
  <si>
    <t>Pisos y/o peldaños de las escaleras.</t>
  </si>
  <si>
    <t>Puertas de acceso a los pisos.</t>
  </si>
  <si>
    <t>Alcance de los trabajos:</t>
  </si>
  <si>
    <t>Preparación de superficies mediante aplicación localizada de masilla, enduido, Poxi Mix o sellador, únicamente en sectores que el personal técnico considere necesarios para garantizar una correcta adherencia y terminación.</t>
  </si>
  <si>
    <r>
      <t xml:space="preserve">Aplicación de una mano de fijador </t>
    </r>
    <r>
      <rPr>
        <b/>
        <sz val="8"/>
        <color theme="1"/>
        <rFont val="Arial"/>
        <family val="2"/>
      </rPr>
      <t>al agua</t>
    </r>
    <r>
      <rPr>
        <sz val="8"/>
        <color theme="1"/>
        <rFont val="Arial"/>
        <family val="2"/>
      </rPr>
      <t>.</t>
    </r>
  </si>
  <si>
    <t>Aplicación de manos de pintura látex para interiores, hasta alcanzar un acabado uniforme, prolijo y de buena terminación estética.</t>
  </si>
  <si>
    <t xml:space="preserve">78 DIAS </t>
  </si>
  <si>
    <t xml:space="preserve">TOTAL </t>
  </si>
  <si>
    <t>Film polietileno negro 200 micrones (2x50 m)</t>
  </si>
  <si>
    <t>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</si>
</sst>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\ #,##0.00"/>
    <numFmt numFmtId="166" formatCode="dd/mm/yyyy;@"/>
    <numFmt numFmtId="167" formatCode="_-* #,##0.00\ &quot;Pts&quot;_-;\-* #,##0.00\ &quot;Pts&quot;_-;_-* &quot;-&quot;??\ &quot;Pts&quot;_-;_-@_-"/>
    <numFmt numFmtId="168" formatCode="_ [$€-2]\ * #,##0.00_ ;_ [$€-2]\ * \-#,##0.00_ ;_ [$€-2]\ * &quot;-&quot;??_ "/>
    <numFmt numFmtId="169" formatCode="#.00"/>
    <numFmt numFmtId="170" formatCode="&quot;$&quot;#.00"/>
    <numFmt numFmtId="171" formatCode="\$#,##0\ ;\(\$#,##0\)"/>
    <numFmt numFmtId="172" formatCode="0.0"/>
    <numFmt numFmtId="173" formatCode="_ * #,##0.00_ ;_ * \-#,##0.00_ ;_ * &quot;-&quot;??_ ;_ @_ "/>
    <numFmt numFmtId="174" formatCode="0.000"/>
  </numFmts>
  <fonts count="21" x14ac:knownFonts="1">
    <font>
      <sz val="8"/>
      <color theme="1"/>
      <name val="Arial"/>
      <family val="2"/>
    </font>
    <font>
      <sz val="16"/>
      <color indexed="48"/>
      <name val="Times New Roman"/>
      <family val="1"/>
    </font>
    <font>
      <sz val="9"/>
      <color indexed="4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"/>
      <color indexed="8"/>
      <name val="Courier"/>
    </font>
    <font>
      <b/>
      <sz val="1"/>
      <color indexed="8"/>
      <name val="Courier"/>
    </font>
    <font>
      <i/>
      <sz val="1"/>
      <color indexed="8"/>
      <name val="Courier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8"/>
      <color theme="1"/>
      <name val="Arial"/>
      <family val="2"/>
    </font>
    <font>
      <b/>
      <sz val="8"/>
      <name val="Arial"/>
      <family val="2"/>
    </font>
    <font>
      <b/>
      <sz val="13.5"/>
      <color theme="1"/>
      <name val="Arial"/>
      <family val="2"/>
    </font>
    <font>
      <b/>
      <sz val="2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>
      <protection locked="0"/>
    </xf>
    <xf numFmtId="0" fontId="11" fillId="0" borderId="0">
      <protection locked="0"/>
    </xf>
    <xf numFmtId="0" fontId="9" fillId="0" borderId="0">
      <protection locked="0"/>
    </xf>
    <xf numFmtId="0" fontId="12" fillId="0" borderId="0">
      <protection locked="0"/>
    </xf>
    <xf numFmtId="0" fontId="9" fillId="0" borderId="0">
      <protection locked="0"/>
    </xf>
    <xf numFmtId="0" fontId="12" fillId="0" borderId="0">
      <protection locked="0"/>
    </xf>
    <xf numFmtId="168" fontId="5" fillId="0" borderId="0" applyFont="0" applyFill="0" applyBorder="0" applyAlignment="0" applyProtection="0"/>
    <xf numFmtId="0" fontId="8" fillId="0" borderId="0">
      <protection locked="0"/>
    </xf>
    <xf numFmtId="0" fontId="11" fillId="0" borderId="0">
      <protection locked="0"/>
    </xf>
    <xf numFmtId="0" fontId="8" fillId="0" borderId="0">
      <protection locked="0"/>
    </xf>
    <xf numFmtId="0" fontId="11" fillId="0" borderId="0">
      <protection locked="0"/>
    </xf>
    <xf numFmtId="0" fontId="10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1" fillId="0" borderId="0">
      <protection locked="0"/>
    </xf>
    <xf numFmtId="0" fontId="8" fillId="0" borderId="0">
      <protection locked="0"/>
    </xf>
    <xf numFmtId="0" fontId="11" fillId="0" borderId="0">
      <protection locked="0"/>
    </xf>
    <xf numFmtId="0" fontId="8" fillId="0" borderId="0">
      <protection locked="0"/>
    </xf>
    <xf numFmtId="0" fontId="11" fillId="0" borderId="0">
      <protection locked="0"/>
    </xf>
    <xf numFmtId="0" fontId="10" fillId="0" borderId="0">
      <protection locked="0"/>
    </xf>
    <xf numFmtId="0" fontId="13" fillId="0" borderId="0">
      <protection locked="0"/>
    </xf>
    <xf numFmtId="0" fontId="5" fillId="0" borderId="0" applyFont="0" applyFill="0" applyBorder="0" applyAlignment="0" applyProtection="0"/>
    <xf numFmtId="169" fontId="8" fillId="0" borderId="0">
      <protection locked="0"/>
    </xf>
    <xf numFmtId="169" fontId="11" fillId="0" borderId="0">
      <protection locked="0"/>
    </xf>
    <xf numFmtId="4" fontId="8" fillId="0" borderId="0">
      <protection locked="0"/>
    </xf>
    <xf numFmtId="4" fontId="11" fillId="0" borderId="0">
      <protection locked="0"/>
    </xf>
    <xf numFmtId="173" fontId="1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70" fontId="8" fillId="0" borderId="0">
      <protection locked="0"/>
    </xf>
    <xf numFmtId="170" fontId="11" fillId="0" borderId="0">
      <protection locked="0"/>
    </xf>
    <xf numFmtId="171" fontId="5" fillId="0" borderId="0" applyFont="0" applyFill="0" applyBorder="0" applyAlignment="0" applyProtection="0"/>
    <xf numFmtId="0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0" fontId="4" fillId="0" borderId="0" xfId="43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vertical="center"/>
    </xf>
    <xf numFmtId="10" fontId="14" fillId="0" borderId="0" xfId="43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0" fontId="17" fillId="0" borderId="0" xfId="43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14" fillId="0" borderId="0" xfId="43" applyNumberFormat="1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vertical="center"/>
    </xf>
    <xf numFmtId="0" fontId="3" fillId="0" borderId="0" xfId="0" applyFont="1"/>
    <xf numFmtId="0" fontId="0" fillId="0" borderId="0" xfId="0" applyAlignment="1">
      <alignment horizontal="left" vertical="center" indent="2"/>
    </xf>
    <xf numFmtId="165" fontId="3" fillId="4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9" fontId="0" fillId="0" borderId="0" xfId="43" applyFont="1" applyAlignment="1">
      <alignment vertical="center"/>
    </xf>
    <xf numFmtId="0" fontId="17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72" fontId="3" fillId="3" borderId="0" xfId="0" applyNumberFormat="1" applyFont="1" applyFill="1" applyAlignment="1">
      <alignment horizontal="center" vertical="center" wrapText="1"/>
    </xf>
    <xf numFmtId="2" fontId="3" fillId="3" borderId="0" xfId="0" applyNumberFormat="1" applyFont="1" applyFill="1" applyAlignment="1">
      <alignment horizontal="left" vertical="center" wrapText="1"/>
    </xf>
    <xf numFmtId="2" fontId="3" fillId="3" borderId="0" xfId="0" applyNumberFormat="1" applyFont="1" applyFill="1" applyAlignment="1">
      <alignment horizontal="center" vertical="center" readingOrder="1"/>
    </xf>
    <xf numFmtId="2" fontId="3" fillId="3" borderId="0" xfId="0" applyNumberFormat="1" applyFont="1" applyFill="1" applyAlignment="1" applyProtection="1">
      <alignment horizontal="center" vertical="center" readingOrder="1"/>
      <protection locked="0"/>
    </xf>
    <xf numFmtId="165" fontId="3" fillId="3" borderId="0" xfId="0" applyNumberFormat="1" applyFont="1" applyFill="1" applyAlignment="1" applyProtection="1">
      <alignment horizontal="center" vertical="center"/>
      <protection locked="0"/>
    </xf>
    <xf numFmtId="165" fontId="3" fillId="3" borderId="0" xfId="0" applyNumberFormat="1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0" fontId="3" fillId="3" borderId="0" xfId="0" applyFont="1" applyFill="1"/>
    <xf numFmtId="0" fontId="17" fillId="5" borderId="1" xfId="0" applyFont="1" applyFill="1" applyBorder="1" applyAlignment="1">
      <alignment vertical="center"/>
    </xf>
    <xf numFmtId="165" fontId="17" fillId="5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7" fillId="6" borderId="1" xfId="0" applyFont="1" applyFill="1" applyBorder="1" applyAlignment="1">
      <alignment vertical="center"/>
    </xf>
    <xf numFmtId="165" fontId="0" fillId="0" borderId="0" xfId="52" applyNumberFormat="1" applyFont="1" applyFill="1" applyAlignment="1">
      <alignment vertical="center"/>
    </xf>
    <xf numFmtId="2" fontId="0" fillId="0" borderId="0" xfId="0" applyNumberFormat="1" applyAlignment="1">
      <alignment vertical="center"/>
    </xf>
    <xf numFmtId="0" fontId="0" fillId="6" borderId="0" xfId="0" applyFill="1" applyAlignment="1">
      <alignment horizontal="center" vertical="center"/>
    </xf>
    <xf numFmtId="44" fontId="17" fillId="6" borderId="1" xfId="53" applyFont="1" applyFill="1" applyBorder="1" applyAlignment="1">
      <alignment vertical="center"/>
    </xf>
    <xf numFmtId="2" fontId="3" fillId="0" borderId="0" xfId="0" applyNumberFormat="1" applyFont="1" applyAlignment="1">
      <alignment vertical="center"/>
    </xf>
    <xf numFmtId="0" fontId="3" fillId="6" borderId="1" xfId="0" applyFont="1" applyFill="1" applyBorder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  <xf numFmtId="165" fontId="17" fillId="0" borderId="2" xfId="0" applyNumberFormat="1" applyFont="1" applyBorder="1"/>
    <xf numFmtId="165" fontId="17" fillId="0" borderId="2" xfId="0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indent="2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7" fillId="0" borderId="0" xfId="0" applyFont="1"/>
    <xf numFmtId="44" fontId="0" fillId="0" borderId="0" xfId="53" applyFont="1"/>
    <xf numFmtId="14" fontId="0" fillId="0" borderId="0" xfId="0" applyNumberFormat="1" applyAlignment="1">
      <alignment vertical="center"/>
    </xf>
    <xf numFmtId="0" fontId="3" fillId="7" borderId="0" xfId="0" applyFont="1" applyFill="1" applyAlignment="1">
      <alignment horizontal="center" vertical="center" wrapText="1"/>
    </xf>
    <xf numFmtId="165" fontId="0" fillId="8" borderId="0" xfId="0" applyNumberFormat="1" applyFill="1" applyAlignment="1">
      <alignment horizontal="left" vertical="center" wrapText="1"/>
    </xf>
    <xf numFmtId="172" fontId="18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1" xfId="0" applyFont="1" applyBorder="1" applyAlignment="1">
      <alignment horizontal="center" vertical="center" wrapText="1"/>
    </xf>
    <xf numFmtId="17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readingOrder="1"/>
    </xf>
    <xf numFmtId="2" fontId="3" fillId="0" borderId="1" xfId="0" applyNumberFormat="1" applyFont="1" applyBorder="1" applyAlignment="1" applyProtection="1">
      <alignment horizontal="center" vertical="center" readingOrder="1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  <xf numFmtId="17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54">
    <cellStyle name="Cabecera 1" xfId="1" xr:uid="{00000000-0005-0000-0000-000000000000}"/>
    <cellStyle name="Cabecera 2" xfId="2" xr:uid="{00000000-0005-0000-0000-000001000000}"/>
    <cellStyle name="Dia" xfId="3" xr:uid="{00000000-0005-0000-0000-000003000000}"/>
    <cellStyle name="Dia 2" xfId="4" xr:uid="{00000000-0005-0000-0000-000004000000}"/>
    <cellStyle name="Encabez1" xfId="5" xr:uid="{00000000-0005-0000-0000-000005000000}"/>
    <cellStyle name="Encabez1 2" xfId="6" xr:uid="{00000000-0005-0000-0000-000006000000}"/>
    <cellStyle name="Encabez2" xfId="7" xr:uid="{00000000-0005-0000-0000-000007000000}"/>
    <cellStyle name="Encabez2 2" xfId="8" xr:uid="{00000000-0005-0000-0000-000008000000}"/>
    <cellStyle name="Euro" xfId="9" xr:uid="{00000000-0005-0000-0000-000009000000}"/>
    <cellStyle name="F2" xfId="10" xr:uid="{00000000-0005-0000-0000-00000A000000}"/>
    <cellStyle name="F2 2" xfId="11" xr:uid="{00000000-0005-0000-0000-00000B000000}"/>
    <cellStyle name="F3" xfId="12" xr:uid="{00000000-0005-0000-0000-00000C000000}"/>
    <cellStyle name="F3 2" xfId="13" xr:uid="{00000000-0005-0000-0000-00000D000000}"/>
    <cellStyle name="F4" xfId="14" xr:uid="{00000000-0005-0000-0000-00000E000000}"/>
    <cellStyle name="F4 2" xfId="15" xr:uid="{00000000-0005-0000-0000-00000F000000}"/>
    <cellStyle name="F5" xfId="16" xr:uid="{00000000-0005-0000-0000-000010000000}"/>
    <cellStyle name="F5 2" xfId="17" xr:uid="{00000000-0005-0000-0000-000011000000}"/>
    <cellStyle name="F6" xfId="18" xr:uid="{00000000-0005-0000-0000-000012000000}"/>
    <cellStyle name="F6 2" xfId="19" xr:uid="{00000000-0005-0000-0000-000013000000}"/>
    <cellStyle name="F7" xfId="20" xr:uid="{00000000-0005-0000-0000-000014000000}"/>
    <cellStyle name="F7 2" xfId="21" xr:uid="{00000000-0005-0000-0000-000015000000}"/>
    <cellStyle name="F8" xfId="22" xr:uid="{00000000-0005-0000-0000-000016000000}"/>
    <cellStyle name="F8 2" xfId="23" xr:uid="{00000000-0005-0000-0000-000017000000}"/>
    <cellStyle name="Fecha" xfId="24" xr:uid="{00000000-0005-0000-0000-000018000000}"/>
    <cellStyle name="Fijo" xfId="25" xr:uid="{00000000-0005-0000-0000-000019000000}"/>
    <cellStyle name="Fijo 2" xfId="26" xr:uid="{00000000-0005-0000-0000-00001A000000}"/>
    <cellStyle name="Financiero" xfId="27" xr:uid="{00000000-0005-0000-0000-00001B000000}"/>
    <cellStyle name="Financiero 2" xfId="28" xr:uid="{00000000-0005-0000-0000-00001C000000}"/>
    <cellStyle name="Millares" xfId="52" builtinId="3"/>
    <cellStyle name="Millares 2" xfId="29" xr:uid="{00000000-0005-0000-0000-00001E000000}"/>
    <cellStyle name="Moneda" xfId="53" builtinId="4"/>
    <cellStyle name="Moneda 2" xfId="30" xr:uid="{00000000-0005-0000-0000-000020000000}"/>
    <cellStyle name="Moneda 3" xfId="31" xr:uid="{00000000-0005-0000-0000-000021000000}"/>
    <cellStyle name="Moneda 3 2" xfId="32" xr:uid="{00000000-0005-0000-0000-000022000000}"/>
    <cellStyle name="Moneda 3 3" xfId="33" xr:uid="{00000000-0005-0000-0000-000023000000}"/>
    <cellStyle name="Monetario" xfId="34" xr:uid="{00000000-0005-0000-0000-000024000000}"/>
    <cellStyle name="Monetario 2" xfId="35" xr:uid="{00000000-0005-0000-0000-000025000000}"/>
    <cellStyle name="Monetario0" xfId="36" xr:uid="{00000000-0005-0000-0000-000026000000}"/>
    <cellStyle name="Normal" xfId="0" builtinId="0"/>
    <cellStyle name="Normal 2" xfId="37" xr:uid="{00000000-0005-0000-0000-000028000000}"/>
    <cellStyle name="Normal 3" xfId="38" xr:uid="{00000000-0005-0000-0000-000029000000}"/>
    <cellStyle name="Normal 4" xfId="39" xr:uid="{00000000-0005-0000-0000-00002A000000}"/>
    <cellStyle name="Normal 4 2" xfId="40" xr:uid="{00000000-0005-0000-0000-00002B000000}"/>
    <cellStyle name="Normal 4 3" xfId="41" xr:uid="{00000000-0005-0000-0000-00002C000000}"/>
    <cellStyle name="Normal 5" xfId="42" xr:uid="{00000000-0005-0000-0000-00002D000000}"/>
    <cellStyle name="Porcentaje" xfId="43" builtinId="5"/>
    <cellStyle name="Porcentaje 2" xfId="44" xr:uid="{00000000-0005-0000-0000-000030000000}"/>
    <cellStyle name="Porcentaje 3" xfId="45" xr:uid="{00000000-0005-0000-0000-000031000000}"/>
    <cellStyle name="Porcentaje 3 2" xfId="46" xr:uid="{00000000-0005-0000-0000-000032000000}"/>
    <cellStyle name="Porcentaje 3 3" xfId="47" xr:uid="{00000000-0005-0000-0000-000033000000}"/>
    <cellStyle name="Porcentual 2" xfId="48" xr:uid="{00000000-0005-0000-0000-000034000000}"/>
    <cellStyle name="Porcentual 3" xfId="49" xr:uid="{00000000-0005-0000-0000-000035000000}"/>
    <cellStyle name="Punto" xfId="50" xr:uid="{00000000-0005-0000-0000-000036000000}"/>
    <cellStyle name="Punto0" xfId="51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3224BC-52A0-49BF-AADE-DB5A6AED6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76200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E4042EAF-CDBD-4488-9335-2841285C0761}"/>
            </a:ext>
          </a:extLst>
        </xdr:cNvPr>
        <xdr:cNvSpPr>
          <a:spLocks noChangeAspect="1" noChangeArrowheads="1"/>
        </xdr:cNvSpPr>
      </xdr:nvSpPr>
      <xdr:spPr bwMode="auto">
        <a:xfrm>
          <a:off x="0" y="34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76200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5F6E1152-302A-4ED9-A255-22E30F99DF00}"/>
            </a:ext>
          </a:extLst>
        </xdr:cNvPr>
        <xdr:cNvSpPr>
          <a:spLocks noChangeAspect="1" noChangeArrowheads="1"/>
        </xdr:cNvSpPr>
      </xdr:nvSpPr>
      <xdr:spPr bwMode="auto">
        <a:xfrm>
          <a:off x="1162050" y="34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66675</xdr:colOff>
      <xdr:row>2</xdr:row>
      <xdr:rowOff>85649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A96B320-A5B1-44AC-9E3E-65DFC2B34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D612A2-ACF6-479B-B28E-AF822418C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0087D3-D3E7-4F68-A843-1AD1B9435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469694-ACBB-4E2B-936B-31A034AF2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771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3EA3A3-81AD-4F1D-9A27-B712966A4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28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C161F5F-A8F9-4D26-BBA8-4102CF865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CE8CDF3-2961-4FC0-8C81-897D94CDD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0E24AAF-5A71-4C8F-AF2A-A20AF0A28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114300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AA99265-35BF-453D-93D9-C2C935E8E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28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CF1EFCD-449A-4AB1-AC4B-BE9ABBA46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38D9262-67E8-4137-911A-31ED6B140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52657CB-6C70-40BA-8676-8FA735403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27BF582-FCE3-47A4-8F74-176AFA3DA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495300</xdr:colOff>
      <xdr:row>1</xdr:row>
      <xdr:rowOff>47626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4098FC4-1F13-49FC-8AA7-C232C9252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872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5275D1E-8A04-48D0-B657-FB1A57578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495300</xdr:colOff>
      <xdr:row>1</xdr:row>
      <xdr:rowOff>47626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B03A1AC-C632-42E3-BA24-2E001DFBD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872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BA233394-7A0D-485B-BE2B-0024E64A5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367687F-2E91-49D0-B2D5-EE594465F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495300</xdr:colOff>
      <xdr:row>1</xdr:row>
      <xdr:rowOff>47626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ED2AD9A1-AD4B-4355-B5E1-94E55F5D4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872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45C6983-7771-4EF7-BA0D-2C5CE159A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C025A1E-03B9-4A80-9E1D-516958502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CB8DCEFA-F110-4356-B2FA-904CF03F1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495300</xdr:colOff>
      <xdr:row>1</xdr:row>
      <xdr:rowOff>47626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E22A162-A32B-44A8-91E2-294C516C9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872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616DD33C-AD37-4C86-AE95-CDFBD5ABB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1176CBBF-883D-439D-948B-535BF5016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A82D248-EF7C-4032-9775-0AB158F65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E8F2E6F9-FF56-4170-8AE1-FF39D50A4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495300</xdr:colOff>
      <xdr:row>1</xdr:row>
      <xdr:rowOff>47626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668B060F-2A6D-49F2-BE95-E37717A32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872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728F66E3-9913-45D0-ACDD-7A32A42D9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39682D30-64B8-4FB6-A847-3D50A180C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FCC088C0-739A-4ED8-A6E7-CD7B6D4B8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39B8076B-AA56-4E36-8171-F5F4C5886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456CA803-CD16-490B-80D9-D7F645F72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34DF49B2-3746-4B0B-849C-B02CEAC22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495300</xdr:colOff>
      <xdr:row>1</xdr:row>
      <xdr:rowOff>47626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E7DC8A85-6E31-408D-A0DE-EAA35BA57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872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173B652E-17D6-4043-80CB-CCB13BB3A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34BC2629-30B2-4233-9B58-3B41F66EC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367E3CAC-7C87-4F48-9039-31A0C4EA0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95ABB55E-8BE2-416D-8679-18627E549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F094C678-CC65-4A25-A4CA-D3582E9BA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233D8AA7-A486-4DCC-81BB-3396BD2D0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5D64AB0A-B924-48F0-830E-21BB8D6DC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495300</xdr:colOff>
      <xdr:row>1</xdr:row>
      <xdr:rowOff>47626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232F31CB-FC4C-4601-8CDE-E2566F929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872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9A03CE1C-6BBC-447F-8966-A0A153518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7CA37E6E-1DB6-4C62-835C-78B74AD8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293946F5-40F5-42B5-A269-D72FC5AAF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8E34BBA1-4927-4C2B-AAB9-BF56383E5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57B1F116-895E-4EEA-8DD3-12C184046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D17A35E5-E463-4D88-B93A-83DB1BE48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E09C6705-1AEE-4883-89CD-218D84A07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CA248FBF-EBA3-4FC6-8D3D-3BB0395EB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495300</xdr:colOff>
      <xdr:row>1</xdr:row>
      <xdr:rowOff>47626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A3826ECE-5104-4354-B362-C25403227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872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6AFD8E76-29FC-4740-A207-804A02C74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A5CFB47D-FA08-4EB1-927F-81187B790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F1CED4C9-F826-4599-9726-92BF5414A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819BFEA8-0760-4CD4-BDC8-B91FE5D6D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6AA76C3D-52A1-4B23-8A2A-6A4DBFE2D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706888F4-DAA4-4A99-AE37-232B69B64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F68E78B1-757D-4A51-9965-347782EC1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DB7D6ED6-8CD5-45CB-9A92-ACADC23BE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B36E4CF4-7E2A-407C-B9E1-3DA750BEA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495300</xdr:colOff>
      <xdr:row>1</xdr:row>
      <xdr:rowOff>47626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1955A9CB-C1B4-44E5-9496-B1E8A3874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872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9D1D9C1B-BAB6-4637-8267-ECEFCA6E0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C413D5EE-3291-441D-9126-BD792DCF2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5FE027F2-D42B-4797-AB7F-C04E630A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24AB7678-AC0B-4E7A-8859-36C82DF0D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5A7F24C2-6CAF-471C-9B04-D27F3E280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0A2E9798-1EF1-49F1-AC39-851AD0E7B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130BAAE6-6094-4528-AB2A-1E39EBEA5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6F413256-7188-4498-934A-FDB2EF3B2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6B8E718E-E19A-4FA3-AA19-18CBFDC63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F9542318-03CA-45CE-9831-7E266ED02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495300</xdr:colOff>
      <xdr:row>1</xdr:row>
      <xdr:rowOff>47626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5E3E5755-3AED-4337-9694-341A931F7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872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4C0D819F-7A83-4649-B100-4064B5388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6AC1EF65-BFD7-4CEA-A0BF-7ED0AEBF5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8A765711-0CAC-4539-8FC2-EAFDFF6DC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DDBBF284-0B79-4832-8C30-FBA1398FB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97D1072E-A4FF-4FF8-8E9D-3D4814D65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898D08C7-F132-497F-9FB5-00DD8A5ED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D21B6977-37D4-4BED-A94E-EC2F68E7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8FCC8843-8FE4-47AA-B243-0D439CFF7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F46FA052-8B60-4F51-B64E-9EEC1D4AE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1972CB6E-0BD2-465A-8AA4-230461C76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35BE8429-EF34-495A-9E68-81B4395A6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495300</xdr:colOff>
      <xdr:row>1</xdr:row>
      <xdr:rowOff>47626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4A3B5314-6A42-4BD9-B315-55BA5C56B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872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6A40289A-D95F-409C-89B5-9227033C3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E3AD7893-9837-4EEA-B586-B97963552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76080676-D6AB-4500-BB3B-ADE343F9A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A571EE32-F08D-495C-BB9B-14B4BC280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6A042EDC-7B9A-4921-B581-C0562ADBA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4197D384-9B04-4121-AA25-94CEA1752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456EE0D6-71F0-48FA-A44B-AB050F26F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9C411396-4953-4EB6-99CB-83CC8EFB0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2E2FF2FF-82E5-4D1D-A5AE-7F9CC1439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48029E14-6B28-4F72-A9E3-5631F0EAD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A036BA04-F71B-4A94-B0B6-EAB302CB7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25D72A7E-7C79-4F05-80F3-C5AB8E535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495300</xdr:colOff>
      <xdr:row>1</xdr:row>
      <xdr:rowOff>47626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8D9EBCB2-498D-43E7-B0A3-7D9F59775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872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25D8E96A-4F34-480B-87EF-648F58484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A54D915E-6EBA-4966-A3F4-C32390906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6B61348E-3F3E-4678-BDA0-50692FDEE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B53E3377-CBD4-4724-BB03-EAD3E3606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5376D440-9032-479B-B1C2-86B6E27D9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F9F2F081-17A1-44F8-B43F-B29722E29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731E2506-40D6-4D24-9CF5-CB11659D9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EF9D5EE8-C5D6-4E1A-85D7-7A314313A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8C96DF00-B66D-425F-BF81-1DCE9207D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39DC5CCA-CB84-43E8-B23A-4C46DE9A7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29814EA3-402B-432D-ACB1-15209EE07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3FEEA11E-9CF8-4AD6-96BA-454B8E359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495300</xdr:colOff>
      <xdr:row>1</xdr:row>
      <xdr:rowOff>47626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62CAB129-732E-4B8E-9926-D785B7ADA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872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4071CAF2-BC5B-4DE6-BD59-CEADA6577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BD0F740D-9C65-49CF-8220-7D486796F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D8F7DA6B-A4AA-4C98-9D81-5C5C7DECC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AA3C66CF-87A8-427E-9A58-F9021A505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1B78B195-67EB-4F08-BC8D-2AC6359F2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37ECB51B-56DA-451F-827E-48FC838FA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27712982-740A-40F7-A9A3-E9340AC01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6A8ADD00-AE85-4BE2-BA5C-C078339EF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CEB1609E-0FB8-495A-B870-5CD2B9861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63952458-BCAD-4A23-818E-F7899909D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B3446BBB-A15C-4933-A867-0BA621636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8" name="Imagen 127">
          <a:extLst>
            <a:ext uri="{FF2B5EF4-FFF2-40B4-BE49-F238E27FC236}">
              <a16:creationId xmlns:a16="http://schemas.microsoft.com/office/drawing/2014/main" id="{450D786D-8CE4-43C2-B593-393CB0B97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0B616357-BE08-4C08-83FD-AD964A933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0" name="Imagen 129">
          <a:extLst>
            <a:ext uri="{FF2B5EF4-FFF2-40B4-BE49-F238E27FC236}">
              <a16:creationId xmlns:a16="http://schemas.microsoft.com/office/drawing/2014/main" id="{DD44C3F5-1B7F-44D6-BA16-B0AA7B3A2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495300</xdr:colOff>
      <xdr:row>1</xdr:row>
      <xdr:rowOff>47626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DA2E64A5-AD87-4182-84DF-FB274C6A7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872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2" name="Imagen 131">
          <a:extLst>
            <a:ext uri="{FF2B5EF4-FFF2-40B4-BE49-F238E27FC236}">
              <a16:creationId xmlns:a16="http://schemas.microsoft.com/office/drawing/2014/main" id="{0C6282E7-22C7-43AB-A888-735104E40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2650FE52-7076-437D-80FE-6E218823E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021E86F3-E819-429B-A4EC-8DA237A33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636E164E-F83A-4DD4-9BFC-B0F0B30E7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6" name="Imagen 135">
          <a:extLst>
            <a:ext uri="{FF2B5EF4-FFF2-40B4-BE49-F238E27FC236}">
              <a16:creationId xmlns:a16="http://schemas.microsoft.com/office/drawing/2014/main" id="{30B0F35F-CF54-4E99-8B8F-497AF721E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DCB724F1-9620-4D9E-9312-E23F979AD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11A4421C-CC39-4434-8102-92FEF12DC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9" name="Imagen 138">
          <a:extLst>
            <a:ext uri="{FF2B5EF4-FFF2-40B4-BE49-F238E27FC236}">
              <a16:creationId xmlns:a16="http://schemas.microsoft.com/office/drawing/2014/main" id="{D1F783CF-B947-4BCC-B3BF-7D8FAEB19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0" name="Imagen 139">
          <a:extLst>
            <a:ext uri="{FF2B5EF4-FFF2-40B4-BE49-F238E27FC236}">
              <a16:creationId xmlns:a16="http://schemas.microsoft.com/office/drawing/2014/main" id="{9B91CA40-A241-41CE-8D1E-234410AA8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32888981-A4FE-48A3-9A9F-3BC25DA0E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3C763FFC-5BD3-4D99-A679-BE31D1350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AD35618F-C28C-4777-A752-2C0B94BF4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4" name="Imagen 143">
          <a:extLst>
            <a:ext uri="{FF2B5EF4-FFF2-40B4-BE49-F238E27FC236}">
              <a16:creationId xmlns:a16="http://schemas.microsoft.com/office/drawing/2014/main" id="{2CE11609-33CF-4435-BB05-1D9AA4E5B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5" name="Imagen 144">
          <a:extLst>
            <a:ext uri="{FF2B5EF4-FFF2-40B4-BE49-F238E27FC236}">
              <a16:creationId xmlns:a16="http://schemas.microsoft.com/office/drawing/2014/main" id="{638CCB1D-E665-4961-9ECE-31486AB76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6321AC27-4AA2-48DB-9905-AA37B1141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B255A09D-CD04-4E7B-897A-3B8A9AB77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495300</xdr:colOff>
      <xdr:row>1</xdr:row>
      <xdr:rowOff>47626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A55F79A1-0E20-4EFF-B2AD-54A0022CD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872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9" name="Imagen 148">
          <a:extLst>
            <a:ext uri="{FF2B5EF4-FFF2-40B4-BE49-F238E27FC236}">
              <a16:creationId xmlns:a16="http://schemas.microsoft.com/office/drawing/2014/main" id="{BBB29B22-E2F8-4C1F-BFF9-E3F70C9BD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501613A1-1928-49EE-A0A0-1F4BD87D9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93A79426-55FF-4393-8F89-6CAB7E3CE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D2C99D4F-F103-4E31-BC48-2DA794183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3" name="Imagen 152">
          <a:extLst>
            <a:ext uri="{FF2B5EF4-FFF2-40B4-BE49-F238E27FC236}">
              <a16:creationId xmlns:a16="http://schemas.microsoft.com/office/drawing/2014/main" id="{54E0FA6B-EE9F-419E-9D5D-BABC53721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95465BBC-40E8-4011-8F5C-D3579B675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5" name="Imagen 154">
          <a:extLst>
            <a:ext uri="{FF2B5EF4-FFF2-40B4-BE49-F238E27FC236}">
              <a16:creationId xmlns:a16="http://schemas.microsoft.com/office/drawing/2014/main" id="{5714A6E2-6006-44ED-8928-0B9C95943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9CDA01A5-DD0C-423A-9C4A-2FB911118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7" name="Imagen 156">
          <a:extLst>
            <a:ext uri="{FF2B5EF4-FFF2-40B4-BE49-F238E27FC236}">
              <a16:creationId xmlns:a16="http://schemas.microsoft.com/office/drawing/2014/main" id="{491006E4-62A3-47F1-BF8B-0B9A6F0E6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B952C57D-7771-4717-97BF-39EA95376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9" name="Imagen 158">
          <a:extLst>
            <a:ext uri="{FF2B5EF4-FFF2-40B4-BE49-F238E27FC236}">
              <a16:creationId xmlns:a16="http://schemas.microsoft.com/office/drawing/2014/main" id="{593629ED-1E06-4732-A310-4D848E463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0E50FF0C-0C3C-4B6D-A1FB-2C867CF36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1" name="Imagen 160">
          <a:extLst>
            <a:ext uri="{FF2B5EF4-FFF2-40B4-BE49-F238E27FC236}">
              <a16:creationId xmlns:a16="http://schemas.microsoft.com/office/drawing/2014/main" id="{E6E0C535-682F-43B5-8E58-4B3D49E83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2" name="Imagen 161">
          <a:extLst>
            <a:ext uri="{FF2B5EF4-FFF2-40B4-BE49-F238E27FC236}">
              <a16:creationId xmlns:a16="http://schemas.microsoft.com/office/drawing/2014/main" id="{7531C2BF-58C6-4C1C-8258-BF7F044B8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3" name="Imagen 162">
          <a:extLst>
            <a:ext uri="{FF2B5EF4-FFF2-40B4-BE49-F238E27FC236}">
              <a16:creationId xmlns:a16="http://schemas.microsoft.com/office/drawing/2014/main" id="{25CCA17B-ACFD-4BBF-88F6-4E1B782D4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4" name="Imagen 163">
          <a:extLst>
            <a:ext uri="{FF2B5EF4-FFF2-40B4-BE49-F238E27FC236}">
              <a16:creationId xmlns:a16="http://schemas.microsoft.com/office/drawing/2014/main" id="{4B604BD8-F1EF-4504-9A65-7DBF2F47C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34B146EB-01CD-41E1-8A8A-986424719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3DD570FF-2DA4-4D87-B26A-9BB47758C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495300</xdr:colOff>
      <xdr:row>1</xdr:row>
      <xdr:rowOff>47626</xdr:rowOff>
    </xdr:to>
    <xdr:pic>
      <xdr:nvPicPr>
        <xdr:cNvPr id="167" name="Imagen 166">
          <a:extLst>
            <a:ext uri="{FF2B5EF4-FFF2-40B4-BE49-F238E27FC236}">
              <a16:creationId xmlns:a16="http://schemas.microsoft.com/office/drawing/2014/main" id="{D7DF5EDC-2A7F-458C-8712-4F5D4EF4E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872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8" name="Imagen 167">
          <a:extLst>
            <a:ext uri="{FF2B5EF4-FFF2-40B4-BE49-F238E27FC236}">
              <a16:creationId xmlns:a16="http://schemas.microsoft.com/office/drawing/2014/main" id="{94B99E9A-487C-4A5D-9CA9-3A9A6C7C6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9" name="Imagen 168">
          <a:extLst>
            <a:ext uri="{FF2B5EF4-FFF2-40B4-BE49-F238E27FC236}">
              <a16:creationId xmlns:a16="http://schemas.microsoft.com/office/drawing/2014/main" id="{A7298E2C-0652-42E1-AB3B-4DE4E59D1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0" name="Imagen 169">
          <a:extLst>
            <a:ext uri="{FF2B5EF4-FFF2-40B4-BE49-F238E27FC236}">
              <a16:creationId xmlns:a16="http://schemas.microsoft.com/office/drawing/2014/main" id="{07C87F8E-4644-4A3B-BC87-B3479A7EA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1" name="Imagen 170">
          <a:extLst>
            <a:ext uri="{FF2B5EF4-FFF2-40B4-BE49-F238E27FC236}">
              <a16:creationId xmlns:a16="http://schemas.microsoft.com/office/drawing/2014/main" id="{B4200C57-ED84-4894-9CD9-FD5581939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2" name="Imagen 171">
          <a:extLst>
            <a:ext uri="{FF2B5EF4-FFF2-40B4-BE49-F238E27FC236}">
              <a16:creationId xmlns:a16="http://schemas.microsoft.com/office/drawing/2014/main" id="{0044D9AB-EA95-42E0-B0A8-FDA604067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3" name="Imagen 172">
          <a:extLst>
            <a:ext uri="{FF2B5EF4-FFF2-40B4-BE49-F238E27FC236}">
              <a16:creationId xmlns:a16="http://schemas.microsoft.com/office/drawing/2014/main" id="{0618786F-A4DE-4C7D-AD99-E5855F69D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4" name="Imagen 173">
          <a:extLst>
            <a:ext uri="{FF2B5EF4-FFF2-40B4-BE49-F238E27FC236}">
              <a16:creationId xmlns:a16="http://schemas.microsoft.com/office/drawing/2014/main" id="{B685C919-3DA8-4DF6-B9B8-C01E36B50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5" name="Imagen 174">
          <a:extLst>
            <a:ext uri="{FF2B5EF4-FFF2-40B4-BE49-F238E27FC236}">
              <a16:creationId xmlns:a16="http://schemas.microsoft.com/office/drawing/2014/main" id="{B42D6B51-0481-48B9-BF4D-AE56D77D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6" name="Imagen 175">
          <a:extLst>
            <a:ext uri="{FF2B5EF4-FFF2-40B4-BE49-F238E27FC236}">
              <a16:creationId xmlns:a16="http://schemas.microsoft.com/office/drawing/2014/main" id="{1A37E93C-C232-4A8D-AA33-73606F28E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7" name="Imagen 176">
          <a:extLst>
            <a:ext uri="{FF2B5EF4-FFF2-40B4-BE49-F238E27FC236}">
              <a16:creationId xmlns:a16="http://schemas.microsoft.com/office/drawing/2014/main" id="{048EB178-8662-4582-9095-2486563AA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8" name="Imagen 177">
          <a:extLst>
            <a:ext uri="{FF2B5EF4-FFF2-40B4-BE49-F238E27FC236}">
              <a16:creationId xmlns:a16="http://schemas.microsoft.com/office/drawing/2014/main" id="{5AA34B46-37C4-4593-B7F9-1E21B687D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9" name="Imagen 178">
          <a:extLst>
            <a:ext uri="{FF2B5EF4-FFF2-40B4-BE49-F238E27FC236}">
              <a16:creationId xmlns:a16="http://schemas.microsoft.com/office/drawing/2014/main" id="{422EAE9D-BB87-478A-BB20-697377334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0" name="Imagen 179">
          <a:extLst>
            <a:ext uri="{FF2B5EF4-FFF2-40B4-BE49-F238E27FC236}">
              <a16:creationId xmlns:a16="http://schemas.microsoft.com/office/drawing/2014/main" id="{11671032-3E83-4364-9B1B-2B40FDFBC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1" name="Imagen 180">
          <a:extLst>
            <a:ext uri="{FF2B5EF4-FFF2-40B4-BE49-F238E27FC236}">
              <a16:creationId xmlns:a16="http://schemas.microsoft.com/office/drawing/2014/main" id="{433A535E-699A-473B-9A71-A5F34CFCB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2" name="Imagen 181">
          <a:extLst>
            <a:ext uri="{FF2B5EF4-FFF2-40B4-BE49-F238E27FC236}">
              <a16:creationId xmlns:a16="http://schemas.microsoft.com/office/drawing/2014/main" id="{C68AAE9E-3E60-4AE4-84A3-226F8B763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3" name="Imagen 182">
          <a:extLst>
            <a:ext uri="{FF2B5EF4-FFF2-40B4-BE49-F238E27FC236}">
              <a16:creationId xmlns:a16="http://schemas.microsoft.com/office/drawing/2014/main" id="{3CBD5680-9E0F-4152-A482-88D6C10B0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4" name="Imagen 183">
          <a:extLst>
            <a:ext uri="{FF2B5EF4-FFF2-40B4-BE49-F238E27FC236}">
              <a16:creationId xmlns:a16="http://schemas.microsoft.com/office/drawing/2014/main" id="{52908CE5-EE27-4108-9513-ACEA8D439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5" name="Imagen 184">
          <a:extLst>
            <a:ext uri="{FF2B5EF4-FFF2-40B4-BE49-F238E27FC236}">
              <a16:creationId xmlns:a16="http://schemas.microsoft.com/office/drawing/2014/main" id="{A8DC9559-9C0C-4257-81B8-9FBD30C04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6" name="Imagen 185">
          <a:extLst>
            <a:ext uri="{FF2B5EF4-FFF2-40B4-BE49-F238E27FC236}">
              <a16:creationId xmlns:a16="http://schemas.microsoft.com/office/drawing/2014/main" id="{8AB08F03-02EB-400F-8441-CB72F6A97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495300</xdr:colOff>
      <xdr:row>1</xdr:row>
      <xdr:rowOff>47626</xdr:rowOff>
    </xdr:to>
    <xdr:pic>
      <xdr:nvPicPr>
        <xdr:cNvPr id="187" name="Imagen 186">
          <a:extLst>
            <a:ext uri="{FF2B5EF4-FFF2-40B4-BE49-F238E27FC236}">
              <a16:creationId xmlns:a16="http://schemas.microsoft.com/office/drawing/2014/main" id="{654148E1-4E49-4DD5-9CB2-C11CCD9FE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872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8" name="Imagen 187">
          <a:extLst>
            <a:ext uri="{FF2B5EF4-FFF2-40B4-BE49-F238E27FC236}">
              <a16:creationId xmlns:a16="http://schemas.microsoft.com/office/drawing/2014/main" id="{71EAEE40-8A0B-41A8-A78E-B74AE49B7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9" name="Imagen 188">
          <a:extLst>
            <a:ext uri="{FF2B5EF4-FFF2-40B4-BE49-F238E27FC236}">
              <a16:creationId xmlns:a16="http://schemas.microsoft.com/office/drawing/2014/main" id="{433720C5-1784-4541-866F-F9FCEAC6A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0" name="Imagen 189">
          <a:extLst>
            <a:ext uri="{FF2B5EF4-FFF2-40B4-BE49-F238E27FC236}">
              <a16:creationId xmlns:a16="http://schemas.microsoft.com/office/drawing/2014/main" id="{AF135F01-4E50-4689-AA9A-8AA992AC9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1" name="Imagen 190">
          <a:extLst>
            <a:ext uri="{FF2B5EF4-FFF2-40B4-BE49-F238E27FC236}">
              <a16:creationId xmlns:a16="http://schemas.microsoft.com/office/drawing/2014/main" id="{49D9368B-1619-4D19-A941-CFFC157B3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2" name="Imagen 191">
          <a:extLst>
            <a:ext uri="{FF2B5EF4-FFF2-40B4-BE49-F238E27FC236}">
              <a16:creationId xmlns:a16="http://schemas.microsoft.com/office/drawing/2014/main" id="{165BEE3C-2EA7-4C91-AC38-A683C9108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3" name="Imagen 192">
          <a:extLst>
            <a:ext uri="{FF2B5EF4-FFF2-40B4-BE49-F238E27FC236}">
              <a16:creationId xmlns:a16="http://schemas.microsoft.com/office/drawing/2014/main" id="{79A5578F-141C-42ED-B527-BEAACFD87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4" name="Imagen 193">
          <a:extLst>
            <a:ext uri="{FF2B5EF4-FFF2-40B4-BE49-F238E27FC236}">
              <a16:creationId xmlns:a16="http://schemas.microsoft.com/office/drawing/2014/main" id="{59175C85-D438-481F-A592-A6C7C9543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5" name="Imagen 194">
          <a:extLst>
            <a:ext uri="{FF2B5EF4-FFF2-40B4-BE49-F238E27FC236}">
              <a16:creationId xmlns:a16="http://schemas.microsoft.com/office/drawing/2014/main" id="{7EE943F1-21D0-4237-A163-F2AD53EA8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6" name="Imagen 195">
          <a:extLst>
            <a:ext uri="{FF2B5EF4-FFF2-40B4-BE49-F238E27FC236}">
              <a16:creationId xmlns:a16="http://schemas.microsoft.com/office/drawing/2014/main" id="{1E0A0B5F-93DB-48EB-A9A5-C30E1C8EA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7" name="Imagen 196">
          <a:extLst>
            <a:ext uri="{FF2B5EF4-FFF2-40B4-BE49-F238E27FC236}">
              <a16:creationId xmlns:a16="http://schemas.microsoft.com/office/drawing/2014/main" id="{C559BF04-3B6F-4CB3-8E86-1AE8CDC10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8" name="Imagen 197">
          <a:extLst>
            <a:ext uri="{FF2B5EF4-FFF2-40B4-BE49-F238E27FC236}">
              <a16:creationId xmlns:a16="http://schemas.microsoft.com/office/drawing/2014/main" id="{544CE19C-25BB-4C73-A430-43F80164C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9" name="Imagen 198">
          <a:extLst>
            <a:ext uri="{FF2B5EF4-FFF2-40B4-BE49-F238E27FC236}">
              <a16:creationId xmlns:a16="http://schemas.microsoft.com/office/drawing/2014/main" id="{2FCAF045-F99B-4138-AD21-251F6779C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0" name="Imagen 199">
          <a:extLst>
            <a:ext uri="{FF2B5EF4-FFF2-40B4-BE49-F238E27FC236}">
              <a16:creationId xmlns:a16="http://schemas.microsoft.com/office/drawing/2014/main" id="{1B811CED-333F-4C4D-B996-457E6A8EA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1" name="Imagen 200">
          <a:extLst>
            <a:ext uri="{FF2B5EF4-FFF2-40B4-BE49-F238E27FC236}">
              <a16:creationId xmlns:a16="http://schemas.microsoft.com/office/drawing/2014/main" id="{D2D07B8F-15A5-4FF8-8C38-F604693A0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2" name="Imagen 201">
          <a:extLst>
            <a:ext uri="{FF2B5EF4-FFF2-40B4-BE49-F238E27FC236}">
              <a16:creationId xmlns:a16="http://schemas.microsoft.com/office/drawing/2014/main" id="{F5CAA78B-56CA-40B6-8F1A-DB992C936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3" name="Imagen 202">
          <a:extLst>
            <a:ext uri="{FF2B5EF4-FFF2-40B4-BE49-F238E27FC236}">
              <a16:creationId xmlns:a16="http://schemas.microsoft.com/office/drawing/2014/main" id="{EDCEFDEF-0E92-453F-8365-27E7E8057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4" name="Imagen 203">
          <a:extLst>
            <a:ext uri="{FF2B5EF4-FFF2-40B4-BE49-F238E27FC236}">
              <a16:creationId xmlns:a16="http://schemas.microsoft.com/office/drawing/2014/main" id="{04F1B740-1D83-4848-8859-1CA6CBA59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5" name="Imagen 204">
          <a:extLst>
            <a:ext uri="{FF2B5EF4-FFF2-40B4-BE49-F238E27FC236}">
              <a16:creationId xmlns:a16="http://schemas.microsoft.com/office/drawing/2014/main" id="{3E279778-620A-4DF8-9BC2-82327A625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6" name="Imagen 205">
          <a:extLst>
            <a:ext uri="{FF2B5EF4-FFF2-40B4-BE49-F238E27FC236}">
              <a16:creationId xmlns:a16="http://schemas.microsoft.com/office/drawing/2014/main" id="{D7377D2C-AEF4-47F6-9A1B-63C9E2CDD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7" name="Imagen 206">
          <a:extLst>
            <a:ext uri="{FF2B5EF4-FFF2-40B4-BE49-F238E27FC236}">
              <a16:creationId xmlns:a16="http://schemas.microsoft.com/office/drawing/2014/main" id="{2E32BB76-2A65-4EB2-BB91-ADA20F70D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19050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BDC5A891-9FF2-44D7-AE6E-27264125B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19050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B0D9821-53C7-47D4-981D-3D16E3762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81BF185E-3413-4B48-8E5A-CD3158320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1</xdr:col>
      <xdr:colOff>495300</xdr:colOff>
      <xdr:row>2</xdr:row>
      <xdr:rowOff>114300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65041DC-53D8-4D11-BD1D-22EDBBB76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"/>
          <a:ext cx="1228725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zoomScaleNormal="100" workbookViewId="0">
      <selection activeCell="A11" sqref="A11:XFD19"/>
    </sheetView>
  </sheetViews>
  <sheetFormatPr baseColWidth="10" defaultColWidth="12" defaultRowHeight="10.199999999999999" x14ac:dyDescent="0.2"/>
  <cols>
    <col min="1" max="2" width="12.85546875" customWidth="1"/>
    <col min="3" max="3" width="66.85546875" customWidth="1"/>
    <col min="4" max="4" width="12.85546875" style="23" customWidth="1"/>
    <col min="5" max="5" width="12.85546875" style="24" customWidth="1"/>
    <col min="6" max="6" width="12.85546875" style="18" customWidth="1"/>
    <col min="7" max="7" width="15.85546875" style="18" customWidth="1"/>
    <col min="8" max="8" width="15.85546875" style="17" customWidth="1"/>
    <col min="9" max="10" width="14.140625" style="17" customWidth="1"/>
    <col min="11" max="12" width="12.85546875" customWidth="1"/>
    <col min="13" max="13" width="5.140625" customWidth="1"/>
    <col min="14" max="15" width="12.85546875" customWidth="1"/>
    <col min="16" max="16" width="19.42578125" customWidth="1"/>
    <col min="18" max="18" width="9" bestFit="1" customWidth="1"/>
    <col min="19" max="19" width="15.42578125" customWidth="1"/>
  </cols>
  <sheetData>
    <row r="1" spans="1:19" s="15" customFormat="1" ht="44.25" customHeight="1" x14ac:dyDescent="0.2">
      <c r="A1" s="19"/>
      <c r="C1" s="60"/>
      <c r="D1" s="1"/>
      <c r="E1" s="1"/>
      <c r="F1" s="7"/>
      <c r="G1" s="7"/>
      <c r="H1" s="5"/>
      <c r="I1" s="5"/>
      <c r="J1" s="5"/>
      <c r="K1" s="20"/>
      <c r="L1" s="20"/>
      <c r="M1" s="16"/>
      <c r="N1" s="16"/>
      <c r="O1" s="16"/>
      <c r="P1" s="16"/>
    </row>
    <row r="2" spans="1:19" s="15" customFormat="1" ht="12" x14ac:dyDescent="0.2">
      <c r="A2" s="21"/>
      <c r="C2" s="35"/>
      <c r="D2" s="1"/>
      <c r="E2" s="1"/>
      <c r="F2" s="7"/>
      <c r="G2" s="7"/>
      <c r="H2" s="5"/>
      <c r="I2" s="5"/>
      <c r="J2" s="5"/>
      <c r="K2" s="20"/>
      <c r="L2" s="20"/>
      <c r="M2" s="16"/>
      <c r="N2" s="16"/>
      <c r="O2" s="16"/>
      <c r="P2" s="16"/>
    </row>
    <row r="3" spans="1:19" s="15" customFormat="1" x14ac:dyDescent="0.2">
      <c r="D3" s="16"/>
      <c r="E3" s="1"/>
      <c r="F3" s="5"/>
      <c r="G3" s="5"/>
      <c r="H3" s="7"/>
      <c r="I3" s="5"/>
      <c r="J3" s="5"/>
      <c r="K3" s="20"/>
      <c r="L3" s="20"/>
      <c r="M3" s="16"/>
      <c r="N3" s="16"/>
      <c r="O3" s="16"/>
      <c r="P3" s="16"/>
    </row>
    <row r="4" spans="1:19" s="15" customFormat="1" x14ac:dyDescent="0.2">
      <c r="A4" s="15" t="s">
        <v>0</v>
      </c>
      <c r="B4" s="15" t="s">
        <v>1</v>
      </c>
      <c r="D4" s="16"/>
      <c r="E4" s="1"/>
      <c r="F4" s="5"/>
      <c r="G4" s="5"/>
      <c r="H4" s="7"/>
      <c r="I4" s="5"/>
      <c r="J4" s="5"/>
      <c r="K4" s="20"/>
      <c r="L4" s="20"/>
      <c r="M4" s="16"/>
      <c r="N4" s="16"/>
      <c r="O4" s="16"/>
      <c r="P4" s="16"/>
    </row>
    <row r="5" spans="1:19" s="15" customFormat="1" x14ac:dyDescent="0.2">
      <c r="A5" s="15" t="s">
        <v>2</v>
      </c>
      <c r="B5" t="s">
        <v>3</v>
      </c>
      <c r="D5" s="16"/>
      <c r="E5" s="1"/>
      <c r="F5" s="5"/>
      <c r="G5" s="5"/>
      <c r="H5" s="7"/>
      <c r="I5" s="5"/>
      <c r="J5" s="5"/>
      <c r="K5" s="20"/>
      <c r="L5" s="20"/>
      <c r="M5" s="16"/>
      <c r="N5" s="16"/>
      <c r="O5" s="16"/>
      <c r="P5" s="16"/>
    </row>
    <row r="6" spans="1:19" s="15" customFormat="1" x14ac:dyDescent="0.2">
      <c r="A6" s="15" t="s">
        <v>4</v>
      </c>
      <c r="B6" s="27">
        <v>45940</v>
      </c>
      <c r="D6" s="16"/>
      <c r="E6" s="1"/>
      <c r="F6" s="5"/>
      <c r="G6" s="5"/>
      <c r="H6" s="7"/>
      <c r="I6" s="5"/>
      <c r="J6" s="5"/>
      <c r="K6" s="20"/>
      <c r="L6" s="20"/>
      <c r="M6" s="16"/>
      <c r="N6" s="16"/>
      <c r="O6" s="16"/>
      <c r="P6" s="16"/>
    </row>
    <row r="7" spans="1:19" s="15" customFormat="1" x14ac:dyDescent="0.2">
      <c r="A7" s="15" t="s">
        <v>5</v>
      </c>
      <c r="B7" s="15" t="s">
        <v>6</v>
      </c>
      <c r="C7" s="3"/>
      <c r="D7" s="16"/>
      <c r="E7" s="1"/>
      <c r="F7" s="5"/>
      <c r="G7" s="5"/>
      <c r="H7" s="7"/>
      <c r="I7" s="5"/>
      <c r="J7" s="5"/>
      <c r="K7" s="20"/>
      <c r="L7" s="20"/>
      <c r="M7" s="16"/>
      <c r="N7" s="16"/>
      <c r="O7" s="16"/>
      <c r="P7" s="16"/>
    </row>
    <row r="8" spans="1:19" s="38" customFormat="1" ht="18" customHeight="1" x14ac:dyDescent="0.2">
      <c r="A8" s="15" t="s">
        <v>7</v>
      </c>
      <c r="B8" s="15"/>
      <c r="C8" s="15"/>
      <c r="D8" s="35"/>
      <c r="E8" s="36"/>
      <c r="F8" s="33"/>
      <c r="G8" s="33"/>
      <c r="H8" s="33"/>
      <c r="I8" s="33"/>
      <c r="J8" s="33"/>
      <c r="K8" s="22"/>
      <c r="L8" s="22"/>
      <c r="M8" s="37"/>
      <c r="N8" s="31"/>
      <c r="O8" s="32"/>
      <c r="P8" s="32"/>
    </row>
    <row r="9" spans="1:19" s="15" customFormat="1" x14ac:dyDescent="0.2">
      <c r="C9" s="3"/>
      <c r="D9" s="16"/>
      <c r="E9" s="1"/>
      <c r="F9" s="5"/>
      <c r="G9" s="5"/>
      <c r="H9" s="7"/>
      <c r="I9" s="5"/>
      <c r="J9" s="5"/>
      <c r="K9" s="20"/>
      <c r="L9" s="20"/>
      <c r="M9" s="16"/>
      <c r="N9" s="16"/>
      <c r="O9" s="16"/>
      <c r="P9" s="16"/>
    </row>
    <row r="10" spans="1:19" s="37" customFormat="1" ht="26.25" customHeight="1" x14ac:dyDescent="0.2">
      <c r="A10" s="39" t="s">
        <v>8</v>
      </c>
      <c r="B10" s="39" t="s">
        <v>9</v>
      </c>
      <c r="C10" s="40" t="s">
        <v>10</v>
      </c>
      <c r="D10" s="41" t="s">
        <v>11</v>
      </c>
      <c r="E10" s="42" t="s">
        <v>12</v>
      </c>
      <c r="F10" s="43"/>
      <c r="G10" s="43" t="s">
        <v>13</v>
      </c>
      <c r="H10" s="43" t="s">
        <v>14</v>
      </c>
      <c r="I10" s="43" t="s">
        <v>15</v>
      </c>
      <c r="J10" s="43"/>
      <c r="K10" s="4" t="s">
        <v>16</v>
      </c>
      <c r="L10" s="4" t="s">
        <v>17</v>
      </c>
      <c r="N10" s="44" t="s">
        <v>18</v>
      </c>
      <c r="O10" s="45" t="s">
        <v>19</v>
      </c>
      <c r="P10" s="45" t="s">
        <v>20</v>
      </c>
    </row>
    <row r="11" spans="1:19" s="28" customFormat="1" ht="23.25" customHeight="1" x14ac:dyDescent="0.2">
      <c r="A11" s="83"/>
      <c r="B11" s="46" t="s">
        <v>21</v>
      </c>
      <c r="C11" s="47" t="s">
        <v>22</v>
      </c>
      <c r="D11" s="48" t="s">
        <v>23</v>
      </c>
      <c r="E11" s="49">
        <v>8800</v>
      </c>
      <c r="F11" s="50"/>
      <c r="G11" s="50">
        <f>SUM(G12:G19)</f>
        <v>6153.3096418732794</v>
      </c>
      <c r="H11" s="50">
        <f>G11*E11</f>
        <v>54149124.848484859</v>
      </c>
      <c r="I11" s="51"/>
      <c r="J11" s="51"/>
      <c r="K11" s="52"/>
      <c r="L11" s="53"/>
      <c r="M11" s="53"/>
      <c r="N11" s="53"/>
      <c r="O11" s="53"/>
      <c r="P11" s="53"/>
      <c r="Q11" s="63" t="s">
        <v>24</v>
      </c>
      <c r="R11" s="63" t="s">
        <v>25</v>
      </c>
      <c r="S11" s="63" t="s">
        <v>26</v>
      </c>
    </row>
    <row r="12" spans="1:19" s="38" customFormat="1" ht="18" customHeight="1" x14ac:dyDescent="0.2">
      <c r="A12" s="37" t="s">
        <v>27</v>
      </c>
      <c r="B12" s="15"/>
      <c r="C12" s="29" t="s">
        <v>28</v>
      </c>
      <c r="D12" s="16" t="s">
        <v>29</v>
      </c>
      <c r="E12" s="1">
        <f>8/15</f>
        <v>0.53333333333333333</v>
      </c>
      <c r="F12" s="5">
        <v>4409</v>
      </c>
      <c r="G12" s="5">
        <f>+E12*F12</f>
        <v>2351.4666666666667</v>
      </c>
      <c r="H12" s="30"/>
      <c r="I12" s="32"/>
      <c r="J12" s="32"/>
      <c r="K12" s="32"/>
      <c r="L12" s="32"/>
      <c r="M12" s="37"/>
      <c r="N12" s="31">
        <f t="shared" ref="N12:N17" si="0">E12*$E$11</f>
        <v>4693.333333333333</v>
      </c>
      <c r="O12" s="32">
        <f>+F12</f>
        <v>4409</v>
      </c>
      <c r="P12" s="32">
        <f>N12*O12</f>
        <v>20692906.666666664</v>
      </c>
      <c r="Q12" s="66">
        <v>7</v>
      </c>
      <c r="R12" s="67">
        <f>+N12/8</f>
        <v>586.66666666666663</v>
      </c>
      <c r="S12" s="67">
        <f>+R12/Q12</f>
        <v>83.80952380952381</v>
      </c>
    </row>
    <row r="13" spans="1:19" s="38" customFormat="1" ht="18" customHeight="1" x14ac:dyDescent="0.2">
      <c r="A13" s="37" t="s">
        <v>30</v>
      </c>
      <c r="B13" s="29">
        <v>110041</v>
      </c>
      <c r="C13" s="29" t="s">
        <v>31</v>
      </c>
      <c r="D13" s="16" t="s">
        <v>32</v>
      </c>
      <c r="E13" s="1">
        <v>0.01</v>
      </c>
      <c r="F13" s="5">
        <v>800</v>
      </c>
      <c r="G13" s="5">
        <f t="shared" ref="G13:G19" si="1">+E13*F13</f>
        <v>8</v>
      </c>
      <c r="H13" s="30"/>
      <c r="I13" s="32"/>
      <c r="J13" s="32"/>
      <c r="K13" s="32"/>
      <c r="L13" s="32"/>
      <c r="M13" s="37"/>
      <c r="N13" s="31">
        <f t="shared" si="0"/>
        <v>88</v>
      </c>
      <c r="O13" s="32">
        <f t="shared" ref="O13:O17" si="2">+F13</f>
        <v>800</v>
      </c>
      <c r="P13" s="32">
        <f t="shared" ref="P13:P17" si="3">N13*O13</f>
        <v>70400</v>
      </c>
      <c r="Q13" s="64"/>
      <c r="R13" s="65"/>
      <c r="S13" s="65"/>
    </row>
    <row r="14" spans="1:19" s="38" customFormat="1" ht="18" customHeight="1" x14ac:dyDescent="0.2">
      <c r="A14" s="37" t="s">
        <v>30</v>
      </c>
      <c r="B14" s="29">
        <v>110020</v>
      </c>
      <c r="C14" s="29" t="s">
        <v>33</v>
      </c>
      <c r="D14" s="16" t="s">
        <v>34</v>
      </c>
      <c r="E14" s="1">
        <v>0.1</v>
      </c>
      <c r="F14" s="5">
        <f>4000/1.21</f>
        <v>3305.7851239669421</v>
      </c>
      <c r="G14" s="5">
        <f t="shared" si="1"/>
        <v>330.57851239669424</v>
      </c>
      <c r="H14" s="30"/>
      <c r="I14" s="32"/>
      <c r="J14" s="32"/>
      <c r="K14" s="32"/>
      <c r="L14" s="32"/>
      <c r="M14" s="37"/>
      <c r="N14" s="31">
        <f t="shared" si="0"/>
        <v>880</v>
      </c>
      <c r="O14" s="32">
        <f t="shared" si="2"/>
        <v>3305.7851239669421</v>
      </c>
      <c r="P14" s="32">
        <f t="shared" si="3"/>
        <v>2909090.9090909092</v>
      </c>
      <c r="Q14" s="64"/>
      <c r="R14" s="65"/>
      <c r="S14" s="65"/>
    </row>
    <row r="15" spans="1:19" s="38" customFormat="1" ht="18" customHeight="1" x14ac:dyDescent="0.2">
      <c r="A15" s="37" t="s">
        <v>30</v>
      </c>
      <c r="B15" s="29">
        <v>110317</v>
      </c>
      <c r="C15" s="29" t="s">
        <v>35</v>
      </c>
      <c r="D15" s="16" t="s">
        <v>34</v>
      </c>
      <c r="E15" s="1">
        <v>0.25</v>
      </c>
      <c r="F15" s="5">
        <v>6850</v>
      </c>
      <c r="G15" s="5">
        <f t="shared" si="1"/>
        <v>1712.5</v>
      </c>
      <c r="H15" s="30"/>
      <c r="I15" s="32"/>
      <c r="J15" s="32"/>
      <c r="K15" s="32"/>
      <c r="L15" s="32"/>
      <c r="M15" s="37"/>
      <c r="N15" s="31">
        <f t="shared" si="0"/>
        <v>2200</v>
      </c>
      <c r="O15" s="32">
        <f t="shared" si="2"/>
        <v>6850</v>
      </c>
      <c r="P15" s="32">
        <f t="shared" si="3"/>
        <v>15070000</v>
      </c>
      <c r="Q15" s="64"/>
      <c r="R15" s="65"/>
      <c r="S15" s="85" t="e">
        <f>S12+#REF!</f>
        <v>#REF!</v>
      </c>
    </row>
    <row r="16" spans="1:19" s="38" customFormat="1" ht="18" customHeight="1" x14ac:dyDescent="0.2">
      <c r="A16" s="37" t="s">
        <v>30</v>
      </c>
      <c r="B16" s="29">
        <v>110090</v>
      </c>
      <c r="C16" s="29" t="s">
        <v>36</v>
      </c>
      <c r="D16" s="16" t="s">
        <v>32</v>
      </c>
      <c r="E16" s="23">
        <f>1/800</f>
        <v>1.25E-3</v>
      </c>
      <c r="F16" s="5">
        <v>2100</v>
      </c>
      <c r="G16" s="5">
        <f t="shared" si="1"/>
        <v>2.625</v>
      </c>
      <c r="H16" s="30"/>
      <c r="I16" s="32"/>
      <c r="J16" s="32"/>
      <c r="K16" s="32"/>
      <c r="L16" s="32"/>
      <c r="M16" s="37"/>
      <c r="N16" s="31">
        <f t="shared" si="0"/>
        <v>11</v>
      </c>
      <c r="O16" s="32">
        <f t="shared" si="2"/>
        <v>2100</v>
      </c>
      <c r="P16" s="32">
        <f t="shared" si="3"/>
        <v>23100</v>
      </c>
      <c r="Q16" s="37"/>
      <c r="R16" s="62"/>
    </row>
    <row r="17" spans="1:16" ht="18" customHeight="1" x14ac:dyDescent="0.2">
      <c r="A17" s="37" t="s">
        <v>30</v>
      </c>
      <c r="B17" s="29">
        <v>110062</v>
      </c>
      <c r="C17" s="29" t="s">
        <v>37</v>
      </c>
      <c r="D17" s="23" t="s">
        <v>32</v>
      </c>
      <c r="E17" s="23">
        <f>1/400</f>
        <v>2.5000000000000001E-3</v>
      </c>
      <c r="F17" s="5">
        <v>4200</v>
      </c>
      <c r="G17" s="5">
        <f t="shared" si="1"/>
        <v>10.5</v>
      </c>
      <c r="N17" s="31">
        <f t="shared" si="0"/>
        <v>22</v>
      </c>
      <c r="O17" s="32">
        <f t="shared" si="2"/>
        <v>4200</v>
      </c>
      <c r="P17" s="32">
        <f t="shared" si="3"/>
        <v>92400</v>
      </c>
    </row>
    <row r="18" spans="1:16" ht="18" customHeight="1" x14ac:dyDescent="0.2">
      <c r="A18" s="37" t="s">
        <v>30</v>
      </c>
      <c r="B18" s="29">
        <v>110351</v>
      </c>
      <c r="C18" s="29" t="s">
        <v>38</v>
      </c>
      <c r="D18" s="23" t="s">
        <v>39</v>
      </c>
      <c r="E18" s="23">
        <v>0.6</v>
      </c>
      <c r="F18" s="5">
        <f>3500/1.21</f>
        <v>2892.5619834710747</v>
      </c>
      <c r="G18" s="5">
        <f t="shared" si="1"/>
        <v>1735.5371900826447</v>
      </c>
      <c r="N18" s="31">
        <f t="shared" ref="N18" si="4">E18*$E$11</f>
        <v>5280</v>
      </c>
      <c r="O18" s="32">
        <f t="shared" ref="O18" si="5">+F18</f>
        <v>2892.5619834710747</v>
      </c>
      <c r="P18" s="32">
        <f t="shared" ref="P18" si="6">N18*O18</f>
        <v>15272727.272727273</v>
      </c>
    </row>
    <row r="19" spans="1:16" ht="18" customHeight="1" x14ac:dyDescent="0.2">
      <c r="A19" s="37" t="s">
        <v>30</v>
      </c>
      <c r="B19" s="29"/>
      <c r="C19" s="29" t="s">
        <v>139</v>
      </c>
      <c r="D19" s="16" t="s">
        <v>140</v>
      </c>
      <c r="E19" s="95">
        <f>0.5/E11</f>
        <v>5.6818181818181818E-5</v>
      </c>
      <c r="F19" s="5">
        <v>37000</v>
      </c>
      <c r="G19" s="5">
        <f t="shared" si="1"/>
        <v>2.1022727272727271</v>
      </c>
      <c r="N19" s="31">
        <f t="shared" ref="N19" si="7">E19*$E$11</f>
        <v>0.5</v>
      </c>
      <c r="O19" s="32">
        <f t="shared" ref="O19" si="8">+F19</f>
        <v>37000</v>
      </c>
      <c r="P19" s="32">
        <f t="shared" ref="P19" si="9">N19*O19</f>
        <v>18500</v>
      </c>
    </row>
    <row r="20" spans="1:16" ht="18" customHeight="1" x14ac:dyDescent="0.2">
      <c r="H20" s="17">
        <f>SUM(H11:H17)</f>
        <v>54149124.848484859</v>
      </c>
      <c r="P20" s="18">
        <f>SUM(P11:P19)</f>
        <v>54149124.848484851</v>
      </c>
    </row>
    <row r="21" spans="1:16" ht="18" customHeight="1" x14ac:dyDescent="0.2"/>
    <row r="22" spans="1:16" ht="18" customHeight="1" x14ac:dyDescent="0.2"/>
    <row r="23" spans="1:16" ht="18" customHeight="1" x14ac:dyDescent="0.2"/>
    <row r="24" spans="1:16" ht="18" customHeight="1" x14ac:dyDescent="0.2"/>
    <row r="25" spans="1:16" ht="18" customHeight="1" x14ac:dyDescent="0.2"/>
    <row r="26" spans="1:16" ht="18" customHeight="1" x14ac:dyDescent="0.2"/>
    <row r="27" spans="1:16" ht="18" customHeight="1" x14ac:dyDescent="0.2"/>
    <row r="28" spans="1:16" ht="18" customHeight="1" x14ac:dyDescent="0.2"/>
    <row r="29" spans="1:16" ht="18" customHeight="1" x14ac:dyDescent="0.2"/>
    <row r="30" spans="1:16" ht="18" customHeight="1" x14ac:dyDescent="0.2"/>
  </sheetData>
  <autoFilter ref="A10:Q16" xr:uid="{00000000-0009-0000-0000-000000000000}"/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P96"/>
  <sheetViews>
    <sheetView topLeftCell="A12" workbookViewId="0">
      <selection activeCell="H12" sqref="H12:I13"/>
    </sheetView>
  </sheetViews>
  <sheetFormatPr baseColWidth="10" defaultColWidth="12" defaultRowHeight="10.199999999999999" x14ac:dyDescent="0.2"/>
  <cols>
    <col min="1" max="2" width="10.140625" style="15" customWidth="1"/>
    <col min="3" max="3" width="66" style="3" customWidth="1"/>
    <col min="4" max="4" width="12.85546875" style="16" customWidth="1"/>
    <col min="5" max="5" width="13.28515625" style="1" customWidth="1"/>
    <col min="6" max="6" width="14.140625" style="5" customWidth="1"/>
    <col min="7" max="7" width="16.28515625" style="5" customWidth="1"/>
    <col min="8" max="9" width="14.42578125" style="15" customWidth="1"/>
    <col min="10" max="16384" width="12" style="15"/>
  </cols>
  <sheetData>
    <row r="1" spans="1:16" ht="47.25" customHeight="1" x14ac:dyDescent="0.2">
      <c r="A1" s="19"/>
      <c r="C1" s="16"/>
      <c r="F1" s="1"/>
      <c r="G1" s="1"/>
    </row>
    <row r="2" spans="1:16" ht="12" x14ac:dyDescent="0.2">
      <c r="A2" s="21"/>
      <c r="C2" s="35"/>
      <c r="F2" s="1"/>
      <c r="G2" s="1"/>
    </row>
    <row r="3" spans="1:16" x14ac:dyDescent="0.2">
      <c r="F3" s="1"/>
      <c r="G3" s="1"/>
    </row>
    <row r="4" spans="1:16" x14ac:dyDescent="0.2">
      <c r="A4" s="15" t="s">
        <v>0</v>
      </c>
      <c r="B4" s="15" t="str">
        <f>+'Análisis de precios'!B4</f>
        <v xml:space="preserve">ANALISIS DE PRECIO GENERAL CON LA PINTURA INTERIOR DE PINO </v>
      </c>
      <c r="C4" s="15"/>
      <c r="H4" s="7"/>
      <c r="I4" s="5"/>
      <c r="J4" s="5"/>
      <c r="K4" s="20"/>
      <c r="L4" s="20"/>
      <c r="M4" s="16"/>
      <c r="N4" s="16"/>
      <c r="O4" s="16"/>
      <c r="P4" s="16"/>
    </row>
    <row r="5" spans="1:16" x14ac:dyDescent="0.2">
      <c r="A5" s="15" t="s">
        <v>2</v>
      </c>
      <c r="B5" s="15" t="str">
        <f>+'Análisis de precios'!B5</f>
        <v>TRABAJOS INTERIOR DE PINTURA EN ESCALERA (PAREDES Y PISOS) Y PINTURA SINTETICA EN BARANDAS</v>
      </c>
      <c r="C5" s="15"/>
      <c r="H5" s="7"/>
      <c r="I5" s="5"/>
      <c r="J5" s="5"/>
      <c r="K5" s="20"/>
      <c r="L5" s="20"/>
      <c r="M5" s="16"/>
      <c r="N5" s="16"/>
      <c r="O5" s="16"/>
      <c r="P5" s="16"/>
    </row>
    <row r="6" spans="1:16" x14ac:dyDescent="0.2">
      <c r="A6" s="15" t="s">
        <v>4</v>
      </c>
      <c r="B6" s="82">
        <f>+'Análisis de precios'!B6</f>
        <v>45940</v>
      </c>
      <c r="C6" s="15"/>
      <c r="H6" s="7"/>
      <c r="I6" s="5"/>
      <c r="J6" s="5"/>
      <c r="K6" s="20"/>
      <c r="L6" s="20"/>
      <c r="M6" s="16"/>
      <c r="N6" s="16"/>
      <c r="O6" s="16"/>
      <c r="P6" s="16"/>
    </row>
    <row r="7" spans="1:16" x14ac:dyDescent="0.2">
      <c r="A7" s="15" t="s">
        <v>5</v>
      </c>
      <c r="B7" s="15" t="str">
        <f>+'Análisis de precios'!B7</f>
        <v xml:space="preserve">PINO SOLUCIONES TECNICAS </v>
      </c>
      <c r="H7" s="7"/>
      <c r="I7" s="5"/>
      <c r="J7" s="5"/>
      <c r="K7" s="20"/>
      <c r="L7" s="20"/>
      <c r="M7" s="16"/>
      <c r="N7" s="16"/>
      <c r="O7" s="16"/>
      <c r="P7" s="16"/>
    </row>
    <row r="8" spans="1:16" s="38" customFormat="1" ht="18" customHeight="1" x14ac:dyDescent="0.2">
      <c r="A8" s="15" t="s">
        <v>7</v>
      </c>
      <c r="B8" s="15"/>
      <c r="C8" s="15"/>
      <c r="D8" s="35"/>
      <c r="E8" s="36"/>
      <c r="F8" s="33"/>
      <c r="G8" s="33"/>
      <c r="H8" s="33"/>
      <c r="I8" s="33"/>
      <c r="J8" s="33"/>
      <c r="K8" s="22"/>
      <c r="L8" s="22"/>
      <c r="M8" s="37"/>
      <c r="N8" s="31"/>
      <c r="O8" s="32"/>
      <c r="P8" s="32"/>
    </row>
    <row r="10" spans="1:16" s="3" customFormat="1" ht="20.399999999999999" x14ac:dyDescent="0.2">
      <c r="A10" s="2" t="s">
        <v>8</v>
      </c>
      <c r="B10" s="2" t="s">
        <v>40</v>
      </c>
      <c r="C10" s="3" t="s">
        <v>41</v>
      </c>
      <c r="D10" s="2" t="s">
        <v>11</v>
      </c>
      <c r="E10" s="6" t="s">
        <v>12</v>
      </c>
      <c r="F10" s="7" t="s">
        <v>42</v>
      </c>
      <c r="G10" s="7" t="s">
        <v>43</v>
      </c>
    </row>
    <row r="11" spans="1:16" ht="18" customHeight="1" x14ac:dyDescent="0.2">
      <c r="A11" s="8" t="s">
        <v>44</v>
      </c>
      <c r="B11" s="8"/>
      <c r="C11" s="9" t="s">
        <v>45</v>
      </c>
      <c r="D11" s="10"/>
      <c r="E11" s="11"/>
      <c r="F11" s="12"/>
      <c r="G11" s="13">
        <f>SUM(G12:G14)</f>
        <v>54149124.848484844</v>
      </c>
    </row>
    <row r="12" spans="1:16" ht="18" customHeight="1" x14ac:dyDescent="0.2">
      <c r="A12" s="14" t="s">
        <v>44</v>
      </c>
      <c r="B12" s="14" t="s">
        <v>44</v>
      </c>
      <c r="C12" s="3" t="s">
        <v>46</v>
      </c>
      <c r="D12" s="16" t="s">
        <v>47</v>
      </c>
      <c r="E12" s="1">
        <v>1</v>
      </c>
      <c r="F12" s="5">
        <f>SUMIF('Análisis de precios'!$A$9:$A$20,"MAT",'Análisis de precios'!$P$9:$P$20)</f>
        <v>33456218.181818184</v>
      </c>
      <c r="G12" s="5">
        <f>+E12*F12</f>
        <v>33456218.181818184</v>
      </c>
      <c r="H12" s="15">
        <f>+G12/$G$84</f>
        <v>0.30397576180955949</v>
      </c>
      <c r="I12" s="15">
        <f>+G12/$I$84</f>
        <v>0.33589321679956324</v>
      </c>
      <c r="J12" s="15">
        <v>4932974.38</v>
      </c>
    </row>
    <row r="13" spans="1:16" ht="18" customHeight="1" x14ac:dyDescent="0.2">
      <c r="A13" s="14" t="s">
        <v>44</v>
      </c>
      <c r="B13" s="14" t="s">
        <v>48</v>
      </c>
      <c r="C13" s="3" t="s">
        <v>49</v>
      </c>
      <c r="D13" s="16" t="s">
        <v>47</v>
      </c>
      <c r="E13" s="1">
        <v>1</v>
      </c>
      <c r="F13" s="5">
        <f>SUMIF('Análisis de precios'!$A$9:$A$20,"MO",'Análisis de precios'!$P$9:$P$20)</f>
        <v>20692906.666666664</v>
      </c>
      <c r="G13" s="5">
        <f>+E13*F13</f>
        <v>20692906.666666664</v>
      </c>
      <c r="H13" s="15">
        <f>+G13/$G$84</f>
        <v>0.18801115038975016</v>
      </c>
      <c r="I13" s="15">
        <f>+G13/$I$84</f>
        <v>0.20775232118067391</v>
      </c>
    </row>
    <row r="14" spans="1:16" ht="18" customHeight="1" x14ac:dyDescent="0.2">
      <c r="A14" s="14" t="s">
        <v>44</v>
      </c>
      <c r="B14" s="14" t="s">
        <v>50</v>
      </c>
      <c r="C14" s="3" t="s">
        <v>51</v>
      </c>
      <c r="D14" s="16" t="s">
        <v>47</v>
      </c>
      <c r="E14" s="1">
        <v>1</v>
      </c>
      <c r="F14" s="5">
        <f>SUMIF('Análisis de precios'!$A$9:$A$12,"EQUIPOS",'Análisis de precios'!$P$9:$P$12)</f>
        <v>0</v>
      </c>
      <c r="G14" s="5">
        <f>+E14*F14</f>
        <v>0</v>
      </c>
    </row>
    <row r="15" spans="1:16" ht="18" customHeight="1" x14ac:dyDescent="0.2">
      <c r="A15" s="14"/>
      <c r="B15" s="14"/>
    </row>
    <row r="16" spans="1:16" ht="18" customHeight="1" x14ac:dyDescent="0.2">
      <c r="A16" s="8" t="s">
        <v>48</v>
      </c>
      <c r="B16" s="8"/>
      <c r="C16" s="9" t="s">
        <v>52</v>
      </c>
      <c r="D16" s="10"/>
      <c r="E16" s="11"/>
      <c r="F16" s="12"/>
      <c r="G16" s="13">
        <f>SUM(G17:G61)</f>
        <v>3946787.3090909091</v>
      </c>
      <c r="H16" s="34">
        <f>G16/G11</f>
        <v>7.2887370204679211E-2</v>
      </c>
    </row>
    <row r="17" spans="1:7" ht="18" customHeight="1" x14ac:dyDescent="0.2">
      <c r="A17"/>
      <c r="B17" s="14"/>
      <c r="C17" t="s">
        <v>53</v>
      </c>
      <c r="D17" s="16" t="s">
        <v>54</v>
      </c>
      <c r="E17" s="1">
        <v>2</v>
      </c>
      <c r="F17" s="5">
        <v>1350000</v>
      </c>
      <c r="G17" s="33">
        <f>E17*F17</f>
        <v>2700000</v>
      </c>
    </row>
    <row r="18" spans="1:7" ht="18" customHeight="1" x14ac:dyDescent="0.2">
      <c r="A18" s="14"/>
      <c r="B18" s="14"/>
      <c r="C18" s="3" t="s">
        <v>55</v>
      </c>
      <c r="D18" s="16" t="s">
        <v>56</v>
      </c>
      <c r="E18" s="1">
        <v>0</v>
      </c>
      <c r="F18" s="5">
        <v>50000</v>
      </c>
      <c r="G18" s="33">
        <f t="shared" ref="G18:G61" si="0">E18*F18</f>
        <v>0</v>
      </c>
    </row>
    <row r="19" spans="1:7" ht="18" customHeight="1" x14ac:dyDescent="0.2">
      <c r="A19" s="14"/>
      <c r="B19" s="14"/>
      <c r="C19" s="3" t="s">
        <v>57</v>
      </c>
      <c r="D19" s="16" t="s">
        <v>56</v>
      </c>
      <c r="E19" s="1">
        <v>0</v>
      </c>
      <c r="F19" s="5">
        <v>5000</v>
      </c>
      <c r="G19" s="33">
        <f t="shared" si="0"/>
        <v>0</v>
      </c>
    </row>
    <row r="20" spans="1:7" ht="18" customHeight="1" x14ac:dyDescent="0.2">
      <c r="A20" s="14"/>
      <c r="B20" s="14"/>
      <c r="C20" s="3" t="s">
        <v>58</v>
      </c>
      <c r="D20" s="16" t="s">
        <v>59</v>
      </c>
      <c r="E20" s="1">
        <v>550</v>
      </c>
      <c r="F20" s="5">
        <v>200</v>
      </c>
      <c r="G20" s="33">
        <f t="shared" si="0"/>
        <v>110000</v>
      </c>
    </row>
    <row r="21" spans="1:7" ht="18" customHeight="1" x14ac:dyDescent="0.2">
      <c r="A21" s="14"/>
      <c r="B21" s="14"/>
      <c r="C21" s="3" t="s">
        <v>60</v>
      </c>
      <c r="D21" s="16" t="s">
        <v>61</v>
      </c>
      <c r="E21" s="1">
        <v>550</v>
      </c>
      <c r="F21" s="5">
        <v>200</v>
      </c>
      <c r="G21" s="33">
        <f t="shared" si="0"/>
        <v>110000</v>
      </c>
    </row>
    <row r="22" spans="1:7" ht="18" customHeight="1" x14ac:dyDescent="0.2">
      <c r="A22" s="14"/>
      <c r="B22" s="14"/>
      <c r="C22" s="3" t="s">
        <v>62</v>
      </c>
      <c r="D22" s="16" t="s">
        <v>32</v>
      </c>
      <c r="E22" s="1">
        <v>0</v>
      </c>
      <c r="F22" s="5">
        <v>0</v>
      </c>
      <c r="G22" s="33">
        <f t="shared" si="0"/>
        <v>0</v>
      </c>
    </row>
    <row r="23" spans="1:7" ht="18" customHeight="1" x14ac:dyDescent="0.2">
      <c r="A23" s="14"/>
      <c r="B23" s="14"/>
      <c r="C23" s="3" t="s">
        <v>63</v>
      </c>
      <c r="D23" s="16" t="s">
        <v>47</v>
      </c>
      <c r="E23" s="1">
        <v>0</v>
      </c>
      <c r="F23" s="5">
        <v>0</v>
      </c>
      <c r="G23" s="33">
        <f t="shared" si="0"/>
        <v>0</v>
      </c>
    </row>
    <row r="24" spans="1:7" ht="18" customHeight="1" x14ac:dyDescent="0.2">
      <c r="A24" s="14"/>
      <c r="B24" s="14"/>
      <c r="C24" s="3" t="s">
        <v>64</v>
      </c>
      <c r="D24" s="16" t="s">
        <v>47</v>
      </c>
      <c r="E24" s="1">
        <v>0</v>
      </c>
      <c r="F24" s="5">
        <v>0</v>
      </c>
      <c r="G24" s="33">
        <f t="shared" si="0"/>
        <v>0</v>
      </c>
    </row>
    <row r="25" spans="1:7" ht="18" customHeight="1" x14ac:dyDescent="0.2">
      <c r="A25" s="14"/>
      <c r="B25" s="14"/>
      <c r="C25" s="3" t="s">
        <v>65</v>
      </c>
      <c r="D25" s="16" t="s">
        <v>54</v>
      </c>
      <c r="E25" s="1">
        <v>2</v>
      </c>
      <c r="F25" s="5">
        <v>18000</v>
      </c>
      <c r="G25" s="33">
        <f t="shared" si="0"/>
        <v>36000</v>
      </c>
    </row>
    <row r="26" spans="1:7" ht="18" customHeight="1" x14ac:dyDescent="0.2">
      <c r="A26" s="14"/>
      <c r="B26" s="14"/>
      <c r="C26" s="3" t="s">
        <v>66</v>
      </c>
      <c r="D26" s="16" t="s">
        <v>67</v>
      </c>
      <c r="E26" s="1">
        <v>0.33</v>
      </c>
      <c r="F26" s="5">
        <v>85000</v>
      </c>
      <c r="G26" s="33">
        <f t="shared" si="0"/>
        <v>28050</v>
      </c>
    </row>
    <row r="27" spans="1:7" ht="18" customHeight="1" x14ac:dyDescent="0.2">
      <c r="A27" s="14"/>
      <c r="B27" s="14"/>
      <c r="G27" s="33">
        <f t="shared" si="0"/>
        <v>0</v>
      </c>
    </row>
    <row r="28" spans="1:7" ht="18" customHeight="1" x14ac:dyDescent="0.2">
      <c r="A28" s="14"/>
      <c r="B28" s="14"/>
      <c r="C28" s="3" t="s">
        <v>68</v>
      </c>
      <c r="D28" s="16" t="s">
        <v>69</v>
      </c>
      <c r="E28" s="1">
        <v>0</v>
      </c>
      <c r="F28" s="5">
        <v>0</v>
      </c>
      <c r="G28" s="33">
        <f t="shared" si="0"/>
        <v>0</v>
      </c>
    </row>
    <row r="29" spans="1:7" ht="18" customHeight="1" x14ac:dyDescent="0.2">
      <c r="A29" s="14"/>
      <c r="B29" s="14"/>
      <c r="C29" s="3" t="s">
        <v>70</v>
      </c>
      <c r="D29" s="16" t="s">
        <v>69</v>
      </c>
      <c r="E29" s="1">
        <v>0</v>
      </c>
      <c r="F29" s="5">
        <v>0</v>
      </c>
      <c r="G29" s="33">
        <f t="shared" si="0"/>
        <v>0</v>
      </c>
    </row>
    <row r="30" spans="1:7" ht="18" customHeight="1" x14ac:dyDescent="0.2">
      <c r="A30" s="14"/>
      <c r="B30" s="14"/>
      <c r="C30" s="3" t="s">
        <v>71</v>
      </c>
      <c r="D30" s="16" t="s">
        <v>72</v>
      </c>
      <c r="E30" s="1">
        <v>0</v>
      </c>
      <c r="F30" s="5">
        <v>0</v>
      </c>
      <c r="G30" s="33">
        <f t="shared" si="0"/>
        <v>0</v>
      </c>
    </row>
    <row r="31" spans="1:7" ht="18" customHeight="1" x14ac:dyDescent="0.2">
      <c r="A31" s="14"/>
      <c r="B31" s="14"/>
      <c r="C31" s="3" t="s">
        <v>73</v>
      </c>
      <c r="D31" s="16" t="s">
        <v>74</v>
      </c>
      <c r="E31" s="1">
        <v>0</v>
      </c>
      <c r="F31" s="5">
        <v>0</v>
      </c>
      <c r="G31" s="33">
        <f t="shared" si="0"/>
        <v>0</v>
      </c>
    </row>
    <row r="32" spans="1:7" ht="18" customHeight="1" x14ac:dyDescent="0.2">
      <c r="A32" s="14"/>
      <c r="B32" s="14"/>
      <c r="C32" s="3" t="s">
        <v>75</v>
      </c>
      <c r="D32" s="16" t="s">
        <v>32</v>
      </c>
      <c r="E32" s="1">
        <v>0</v>
      </c>
      <c r="F32" s="5">
        <v>1000</v>
      </c>
      <c r="G32" s="33">
        <f t="shared" si="0"/>
        <v>0</v>
      </c>
    </row>
    <row r="33" spans="1:7" ht="18" customHeight="1" x14ac:dyDescent="0.2">
      <c r="A33" s="14"/>
      <c r="B33" s="14"/>
      <c r="C33" s="3" t="s">
        <v>63</v>
      </c>
      <c r="D33" s="16" t="s">
        <v>47</v>
      </c>
      <c r="E33" s="1">
        <v>0</v>
      </c>
      <c r="F33" s="5">
        <v>0</v>
      </c>
      <c r="G33" s="33">
        <f t="shared" si="0"/>
        <v>0</v>
      </c>
    </row>
    <row r="34" spans="1:7" ht="18" customHeight="1" x14ac:dyDescent="0.2">
      <c r="A34" s="14"/>
      <c r="B34" s="14"/>
      <c r="C34" s="3" t="s">
        <v>76</v>
      </c>
      <c r="D34" s="16" t="s">
        <v>77</v>
      </c>
      <c r="E34" s="1">
        <f>7*78/25</f>
        <v>21.84</v>
      </c>
      <c r="F34" s="5">
        <v>15000</v>
      </c>
      <c r="G34" s="33">
        <f t="shared" si="0"/>
        <v>327600</v>
      </c>
    </row>
    <row r="35" spans="1:7" ht="18" customHeight="1" x14ac:dyDescent="0.2">
      <c r="A35" s="14"/>
      <c r="B35" s="14"/>
      <c r="C35" s="3" t="s">
        <v>78</v>
      </c>
      <c r="D35" s="16" t="s">
        <v>67</v>
      </c>
      <c r="E35" s="1">
        <f>(7*78/25)/6</f>
        <v>3.64</v>
      </c>
      <c r="F35" s="5">
        <v>85000</v>
      </c>
      <c r="G35" s="33">
        <f t="shared" si="0"/>
        <v>309400</v>
      </c>
    </row>
    <row r="36" spans="1:7" ht="18" customHeight="1" x14ac:dyDescent="0.2">
      <c r="A36" s="14"/>
      <c r="B36" s="14"/>
      <c r="G36" s="33"/>
    </row>
    <row r="37" spans="1:7" ht="18" customHeight="1" x14ac:dyDescent="0.2">
      <c r="A37" s="14"/>
      <c r="B37" s="14"/>
      <c r="C37" s="3" t="s">
        <v>79</v>
      </c>
      <c r="D37" s="16" t="s">
        <v>47</v>
      </c>
      <c r="E37" s="1">
        <v>0</v>
      </c>
      <c r="F37" s="5">
        <v>160000</v>
      </c>
      <c r="G37" s="33">
        <f t="shared" si="0"/>
        <v>0</v>
      </c>
    </row>
    <row r="38" spans="1:7" ht="18" customHeight="1" x14ac:dyDescent="0.2">
      <c r="A38" s="14"/>
      <c r="B38" s="14"/>
      <c r="C38" s="3" t="s">
        <v>80</v>
      </c>
      <c r="D38" s="16" t="s">
        <v>81</v>
      </c>
      <c r="E38" s="1">
        <v>0</v>
      </c>
      <c r="F38" s="5">
        <v>30000</v>
      </c>
      <c r="G38" s="33">
        <f t="shared" ref="G38" si="1">E38*F38</f>
        <v>0</v>
      </c>
    </row>
    <row r="39" spans="1:7" ht="18" customHeight="1" x14ac:dyDescent="0.2">
      <c r="A39" s="14"/>
      <c r="B39" s="14"/>
      <c r="C39" s="3" t="s">
        <v>82</v>
      </c>
      <c r="D39" s="16" t="s">
        <v>47</v>
      </c>
      <c r="E39" s="1">
        <v>0</v>
      </c>
      <c r="F39" s="5">
        <v>300000</v>
      </c>
      <c r="G39" s="33">
        <f t="shared" si="0"/>
        <v>0</v>
      </c>
    </row>
    <row r="40" spans="1:7" ht="18" customHeight="1" x14ac:dyDescent="0.2">
      <c r="A40" s="14"/>
      <c r="B40" s="14"/>
      <c r="C40" s="3" t="s">
        <v>83</v>
      </c>
      <c r="D40" s="16" t="s">
        <v>47</v>
      </c>
      <c r="E40" s="1">
        <v>0</v>
      </c>
      <c r="F40" s="5">
        <v>15000</v>
      </c>
      <c r="G40" s="33">
        <f t="shared" si="0"/>
        <v>0</v>
      </c>
    </row>
    <row r="41" spans="1:7" ht="18" customHeight="1" x14ac:dyDescent="0.2">
      <c r="A41" s="14"/>
      <c r="B41" s="14"/>
      <c r="G41" s="33"/>
    </row>
    <row r="42" spans="1:7" ht="18" customHeight="1" x14ac:dyDescent="0.2">
      <c r="A42" s="14"/>
      <c r="B42" s="14"/>
      <c r="C42" s="3" t="s">
        <v>84</v>
      </c>
      <c r="D42" s="16" t="s">
        <v>72</v>
      </c>
      <c r="E42" s="1">
        <v>0</v>
      </c>
      <c r="F42" s="5">
        <v>0</v>
      </c>
      <c r="G42" s="33">
        <f t="shared" si="0"/>
        <v>0</v>
      </c>
    </row>
    <row r="43" spans="1:7" ht="18" customHeight="1" x14ac:dyDescent="0.2">
      <c r="A43" s="14"/>
      <c r="B43" s="14"/>
      <c r="C43" s="3" t="s">
        <v>85</v>
      </c>
      <c r="D43" s="16" t="s">
        <v>81</v>
      </c>
      <c r="E43" s="1">
        <v>0</v>
      </c>
      <c r="F43" s="5">
        <v>0</v>
      </c>
      <c r="G43" s="33">
        <f t="shared" si="0"/>
        <v>0</v>
      </c>
    </row>
    <row r="44" spans="1:7" ht="18" customHeight="1" x14ac:dyDescent="0.2">
      <c r="A44" s="14"/>
      <c r="B44" s="14"/>
      <c r="C44" s="3" t="s">
        <v>86</v>
      </c>
      <c r="D44" s="16" t="s">
        <v>81</v>
      </c>
      <c r="E44" s="1">
        <v>0</v>
      </c>
      <c r="F44" s="5">
        <v>0</v>
      </c>
      <c r="G44" s="33">
        <f t="shared" si="0"/>
        <v>0</v>
      </c>
    </row>
    <row r="45" spans="1:7" ht="18" customHeight="1" x14ac:dyDescent="0.2">
      <c r="A45" s="14"/>
      <c r="B45" s="14"/>
      <c r="C45" s="3" t="s">
        <v>71</v>
      </c>
      <c r="D45" s="16" t="s">
        <v>72</v>
      </c>
      <c r="E45" s="1">
        <v>500</v>
      </c>
      <c r="F45" s="5">
        <v>125</v>
      </c>
      <c r="G45" s="33">
        <f t="shared" si="0"/>
        <v>62500</v>
      </c>
    </row>
    <row r="46" spans="1:7" ht="18" customHeight="1" x14ac:dyDescent="0.2">
      <c r="A46" s="14"/>
      <c r="B46" s="14"/>
      <c r="C46" s="3" t="s">
        <v>87</v>
      </c>
      <c r="D46" s="16" t="s">
        <v>72</v>
      </c>
      <c r="E46" s="1">
        <v>500</v>
      </c>
      <c r="F46" s="5">
        <v>125</v>
      </c>
      <c r="G46" s="33">
        <f>E46*F46</f>
        <v>62500</v>
      </c>
    </row>
    <row r="47" spans="1:7" ht="18" customHeight="1" x14ac:dyDescent="0.2">
      <c r="A47" s="14"/>
      <c r="B47" s="14"/>
      <c r="C47" s="3" t="s">
        <v>88</v>
      </c>
      <c r="D47" s="16" t="s">
        <v>47</v>
      </c>
      <c r="E47" s="1">
        <v>0</v>
      </c>
      <c r="F47" s="5">
        <v>0</v>
      </c>
      <c r="G47" s="33">
        <f>E47*F47</f>
        <v>0</v>
      </c>
    </row>
    <row r="48" spans="1:7" ht="18" customHeight="1" x14ac:dyDescent="0.2">
      <c r="A48" s="14"/>
      <c r="B48" s="14"/>
      <c r="C48" s="3" t="s">
        <v>63</v>
      </c>
      <c r="D48" s="16" t="s">
        <v>47</v>
      </c>
      <c r="E48" s="1">
        <v>0</v>
      </c>
      <c r="F48" s="5">
        <v>0</v>
      </c>
      <c r="G48" s="33">
        <f t="shared" si="0"/>
        <v>0</v>
      </c>
    </row>
    <row r="49" spans="1:7" ht="18" customHeight="1" x14ac:dyDescent="0.2">
      <c r="A49" s="14"/>
      <c r="B49" s="14"/>
      <c r="C49" s="3" t="s">
        <v>89</v>
      </c>
      <c r="D49" s="16" t="s">
        <v>47</v>
      </c>
      <c r="E49" s="1">
        <v>6.0000000000000001E-3</v>
      </c>
      <c r="F49" s="58">
        <f>F12</f>
        <v>33456218.181818184</v>
      </c>
      <c r="G49" s="33">
        <f t="shared" si="0"/>
        <v>200737.30909090911</v>
      </c>
    </row>
    <row r="50" spans="1:7" ht="18" customHeight="1" x14ac:dyDescent="0.2">
      <c r="A50" s="14"/>
      <c r="B50" s="14"/>
      <c r="G50" s="33">
        <f t="shared" si="0"/>
        <v>0</v>
      </c>
    </row>
    <row r="51" spans="1:7" ht="18" customHeight="1" x14ac:dyDescent="0.2">
      <c r="A51" s="14"/>
      <c r="B51" s="14"/>
      <c r="C51" s="3" t="s">
        <v>90</v>
      </c>
      <c r="D51" s="16" t="s">
        <v>77</v>
      </c>
      <c r="E51" s="1">
        <v>0</v>
      </c>
      <c r="F51" s="5">
        <v>0</v>
      </c>
      <c r="G51" s="33">
        <f t="shared" si="0"/>
        <v>0</v>
      </c>
    </row>
    <row r="52" spans="1:7" ht="18" customHeight="1" x14ac:dyDescent="0.2">
      <c r="A52" s="14"/>
      <c r="B52" s="14"/>
      <c r="C52" s="3" t="s">
        <v>91</v>
      </c>
      <c r="D52" s="16" t="s">
        <v>81</v>
      </c>
      <c r="E52" s="1">
        <v>0</v>
      </c>
      <c r="F52" s="5">
        <v>0</v>
      </c>
      <c r="G52" s="33">
        <f t="shared" si="0"/>
        <v>0</v>
      </c>
    </row>
    <row r="53" spans="1:7" ht="18" customHeight="1" x14ac:dyDescent="0.2">
      <c r="A53" s="14"/>
      <c r="B53" s="14"/>
      <c r="C53" s="3" t="s">
        <v>92</v>
      </c>
      <c r="D53" s="16" t="s">
        <v>81</v>
      </c>
      <c r="E53" s="1">
        <v>0</v>
      </c>
      <c r="F53" s="5">
        <v>0</v>
      </c>
      <c r="G53" s="33">
        <f t="shared" si="0"/>
        <v>0</v>
      </c>
    </row>
    <row r="54" spans="1:7" ht="18" customHeight="1" x14ac:dyDescent="0.2">
      <c r="A54" s="14"/>
      <c r="B54" s="14"/>
      <c r="C54" s="3" t="s">
        <v>93</v>
      </c>
      <c r="D54" s="16" t="s">
        <v>81</v>
      </c>
      <c r="E54" s="1">
        <v>0</v>
      </c>
      <c r="F54" s="5">
        <v>0</v>
      </c>
      <c r="G54" s="33">
        <f t="shared" si="0"/>
        <v>0</v>
      </c>
    </row>
    <row r="55" spans="1:7" ht="18" customHeight="1" x14ac:dyDescent="0.2">
      <c r="A55" s="14"/>
      <c r="B55" s="14"/>
      <c r="G55" s="33">
        <f t="shared" si="0"/>
        <v>0</v>
      </c>
    </row>
    <row r="56" spans="1:7" ht="18" customHeight="1" x14ac:dyDescent="0.2">
      <c r="A56" s="14"/>
      <c r="B56" s="14"/>
      <c r="C56" s="3" t="s">
        <v>94</v>
      </c>
      <c r="D56" s="16" t="s">
        <v>47</v>
      </c>
      <c r="E56" s="1">
        <v>0</v>
      </c>
      <c r="F56" s="5">
        <v>0</v>
      </c>
      <c r="G56" s="33">
        <f t="shared" si="0"/>
        <v>0</v>
      </c>
    </row>
    <row r="57" spans="1:7" ht="18" customHeight="1" x14ac:dyDescent="0.2">
      <c r="A57" s="14"/>
      <c r="B57" s="14"/>
      <c r="C57" s="3" t="s">
        <v>95</v>
      </c>
      <c r="D57" s="16" t="s">
        <v>47</v>
      </c>
      <c r="E57" s="1">
        <v>0</v>
      </c>
      <c r="F57" s="5">
        <v>0</v>
      </c>
      <c r="G57" s="33">
        <f t="shared" si="0"/>
        <v>0</v>
      </c>
    </row>
    <row r="58" spans="1:7" ht="18" customHeight="1" x14ac:dyDescent="0.2">
      <c r="A58" s="14"/>
      <c r="B58" s="14"/>
      <c r="C58" s="3" t="s">
        <v>96</v>
      </c>
      <c r="D58" s="16" t="s">
        <v>47</v>
      </c>
      <c r="E58" s="1">
        <v>0</v>
      </c>
      <c r="F58" s="5">
        <v>0</v>
      </c>
      <c r="G58" s="33">
        <f t="shared" si="0"/>
        <v>0</v>
      </c>
    </row>
    <row r="59" spans="1:7" ht="18" customHeight="1" x14ac:dyDescent="0.2">
      <c r="A59" s="14"/>
      <c r="B59" s="14"/>
      <c r="C59" s="3" t="s">
        <v>97</v>
      </c>
      <c r="D59" s="16" t="s">
        <v>47</v>
      </c>
      <c r="E59" s="1">
        <v>0</v>
      </c>
      <c r="F59" s="5">
        <v>0</v>
      </c>
      <c r="G59" s="33">
        <f t="shared" si="0"/>
        <v>0</v>
      </c>
    </row>
    <row r="60" spans="1:7" ht="18" customHeight="1" x14ac:dyDescent="0.2">
      <c r="A60" s="14" t="s">
        <v>48</v>
      </c>
      <c r="B60" s="14" t="s">
        <v>44</v>
      </c>
      <c r="C60" s="3" t="s">
        <v>98</v>
      </c>
      <c r="D60" s="16" t="s">
        <v>47</v>
      </c>
      <c r="E60" s="1">
        <v>0</v>
      </c>
      <c r="F60" s="5">
        <v>0</v>
      </c>
      <c r="G60" s="33">
        <f t="shared" si="0"/>
        <v>0</v>
      </c>
    </row>
    <row r="61" spans="1:7" ht="18" customHeight="1" x14ac:dyDescent="0.2">
      <c r="A61" s="14"/>
      <c r="B61" s="14"/>
      <c r="C61" s="3" t="s">
        <v>99</v>
      </c>
      <c r="D61" s="16" t="s">
        <v>47</v>
      </c>
      <c r="E61" s="1">
        <v>0</v>
      </c>
      <c r="F61" s="5">
        <v>0</v>
      </c>
      <c r="G61" s="33">
        <f t="shared" si="0"/>
        <v>0</v>
      </c>
    </row>
    <row r="62" spans="1:7" ht="18" customHeight="1" x14ac:dyDescent="0.2">
      <c r="A62" s="14"/>
      <c r="B62" s="14"/>
    </row>
    <row r="63" spans="1:7" ht="18" customHeight="1" x14ac:dyDescent="0.2">
      <c r="A63" s="8" t="s">
        <v>50</v>
      </c>
      <c r="B63" s="8"/>
      <c r="C63" s="9" t="s">
        <v>100</v>
      </c>
      <c r="D63" s="10"/>
      <c r="E63" s="11"/>
      <c r="F63" s="12"/>
      <c r="G63" s="13">
        <f>+G11+G16</f>
        <v>58095912.157575756</v>
      </c>
    </row>
    <row r="64" spans="1:7" ht="18" customHeight="1" x14ac:dyDescent="0.2">
      <c r="A64" s="14"/>
      <c r="B64" s="14"/>
    </row>
    <row r="65" spans="1:12" ht="18" customHeight="1" x14ac:dyDescent="0.2">
      <c r="A65" s="8" t="s">
        <v>101</v>
      </c>
      <c r="B65" s="8"/>
      <c r="C65" s="9" t="s">
        <v>102</v>
      </c>
      <c r="D65" s="10"/>
      <c r="E65" s="11"/>
      <c r="F65" s="12"/>
      <c r="G65" s="13">
        <f>+G66</f>
        <v>10457264.188363636</v>
      </c>
    </row>
    <row r="66" spans="1:12" ht="18" customHeight="1" x14ac:dyDescent="0.2">
      <c r="A66" s="14" t="s">
        <v>101</v>
      </c>
      <c r="B66" s="14" t="s">
        <v>44</v>
      </c>
      <c r="C66" s="3" t="s">
        <v>102</v>
      </c>
      <c r="D66" s="16" t="s">
        <v>103</v>
      </c>
      <c r="E66" s="1">
        <v>18</v>
      </c>
      <c r="G66" s="5">
        <f>+(G63*E66/100)</f>
        <v>10457264.188363636</v>
      </c>
    </row>
    <row r="67" spans="1:12" ht="18" customHeight="1" x14ac:dyDescent="0.2">
      <c r="A67" s="14"/>
      <c r="B67" s="14"/>
    </row>
    <row r="68" spans="1:12" ht="18" customHeight="1" x14ac:dyDescent="0.2">
      <c r="A68" s="8" t="s">
        <v>104</v>
      </c>
      <c r="B68" s="8"/>
      <c r="C68" s="9" t="s">
        <v>105</v>
      </c>
      <c r="D68" s="10"/>
      <c r="E68" s="11"/>
      <c r="F68" s="12"/>
      <c r="G68" s="13">
        <f>+G65+G63</f>
        <v>68553176.345939398</v>
      </c>
    </row>
    <row r="69" spans="1:12" ht="18" customHeight="1" x14ac:dyDescent="0.2">
      <c r="A69" s="14"/>
      <c r="B69" s="14"/>
    </row>
    <row r="70" spans="1:12" ht="18" customHeight="1" x14ac:dyDescent="0.2">
      <c r="A70" s="8" t="s">
        <v>106</v>
      </c>
      <c r="B70" s="8"/>
      <c r="C70" s="9" t="s">
        <v>107</v>
      </c>
      <c r="D70" s="10"/>
      <c r="E70" s="11"/>
      <c r="F70" s="12"/>
      <c r="G70" s="13">
        <f>+G71+G72</f>
        <v>20565952.90378182</v>
      </c>
    </row>
    <row r="71" spans="1:12" ht="18" customHeight="1" x14ac:dyDescent="0.2">
      <c r="A71" s="14" t="s">
        <v>106</v>
      </c>
      <c r="B71" s="14" t="s">
        <v>44</v>
      </c>
      <c r="C71" s="3" t="s">
        <v>107</v>
      </c>
      <c r="D71" s="16" t="s">
        <v>103</v>
      </c>
      <c r="E71" s="1">
        <v>30</v>
      </c>
      <c r="F71" s="25"/>
      <c r="G71" s="5">
        <f>+G68*E71/100</f>
        <v>20565952.90378182</v>
      </c>
    </row>
    <row r="72" spans="1:12" ht="18" customHeight="1" x14ac:dyDescent="0.2">
      <c r="A72" s="14" t="s">
        <v>106</v>
      </c>
      <c r="B72" s="14" t="s">
        <v>48</v>
      </c>
      <c r="C72" s="3" t="s">
        <v>108</v>
      </c>
      <c r="D72" s="16" t="s">
        <v>103</v>
      </c>
      <c r="G72" s="5">
        <f>+G68*E72/100</f>
        <v>0</v>
      </c>
    </row>
    <row r="73" spans="1:12" ht="18" customHeight="1" x14ac:dyDescent="0.2">
      <c r="A73" s="14"/>
      <c r="B73" s="14"/>
    </row>
    <row r="74" spans="1:12" ht="18" customHeight="1" x14ac:dyDescent="0.2">
      <c r="A74" s="8" t="s">
        <v>109</v>
      </c>
      <c r="B74" s="8"/>
      <c r="C74" s="9" t="s">
        <v>110</v>
      </c>
      <c r="D74" s="10"/>
      <c r="E74" s="11"/>
      <c r="F74" s="12"/>
      <c r="G74" s="13">
        <f>+G68+G70</f>
        <v>89119129.249721214</v>
      </c>
    </row>
    <row r="75" spans="1:12" ht="18" customHeight="1" x14ac:dyDescent="0.2">
      <c r="A75" s="14"/>
      <c r="B75" s="14"/>
      <c r="J75" s="54" t="s">
        <v>111</v>
      </c>
      <c r="K75" s="55">
        <f>G74/'Análisis de precios'!E11</f>
        <v>10127.173778377412</v>
      </c>
      <c r="L75" s="59"/>
    </row>
    <row r="76" spans="1:12" ht="18" customHeight="1" x14ac:dyDescent="0.2">
      <c r="A76" s="8" t="s">
        <v>112</v>
      </c>
      <c r="B76" s="8"/>
      <c r="C76" s="9" t="s">
        <v>113</v>
      </c>
      <c r="D76" s="10"/>
      <c r="E76" s="11"/>
      <c r="F76" s="12"/>
      <c r="G76" s="13">
        <f>+G77+G78</f>
        <v>2227978.2312430306</v>
      </c>
    </row>
    <row r="77" spans="1:12" ht="18" customHeight="1" x14ac:dyDescent="0.2">
      <c r="A77" s="14"/>
      <c r="B77" s="14"/>
      <c r="C77" s="3" t="s">
        <v>114</v>
      </c>
      <c r="D77" s="16" t="s">
        <v>103</v>
      </c>
      <c r="E77" s="1">
        <v>2.5</v>
      </c>
      <c r="G77" s="5">
        <f>+G74*E77/100</f>
        <v>2227978.2312430306</v>
      </c>
    </row>
    <row r="78" spans="1:12" ht="18" customHeight="1" x14ac:dyDescent="0.2">
      <c r="A78" s="14"/>
      <c r="B78" s="14"/>
    </row>
    <row r="79" spans="1:12" ht="18" customHeight="1" x14ac:dyDescent="0.2">
      <c r="A79" s="8" t="s">
        <v>112</v>
      </c>
      <c r="B79" s="8"/>
      <c r="C79" s="9" t="s">
        <v>115</v>
      </c>
      <c r="D79" s="10"/>
      <c r="E79" s="11"/>
      <c r="F79" s="12"/>
      <c r="G79" s="13">
        <f>+G74+G76</f>
        <v>91347107.480964243</v>
      </c>
      <c r="J79" s="57" t="s">
        <v>111</v>
      </c>
      <c r="K79" s="61">
        <f>G84/'Análisis de precios'!E11</f>
        <v>12507.059617432466</v>
      </c>
    </row>
    <row r="80" spans="1:12" ht="18" customHeight="1" x14ac:dyDescent="0.2">
      <c r="A80" s="14"/>
      <c r="B80" s="14"/>
    </row>
    <row r="81" spans="1:11" ht="18" customHeight="1" x14ac:dyDescent="0.2">
      <c r="A81" s="8" t="s">
        <v>112</v>
      </c>
      <c r="B81" s="8"/>
      <c r="C81" s="9" t="s">
        <v>113</v>
      </c>
      <c r="D81" s="10"/>
      <c r="E81" s="11"/>
      <c r="F81" s="12"/>
      <c r="G81" s="13">
        <f>+G82</f>
        <v>18715017.142441455</v>
      </c>
    </row>
    <row r="82" spans="1:11" ht="18" customHeight="1" x14ac:dyDescent="0.2">
      <c r="A82" s="14"/>
      <c r="B82" s="14"/>
      <c r="C82" s="3" t="s">
        <v>116</v>
      </c>
      <c r="D82" s="16" t="s">
        <v>103</v>
      </c>
      <c r="E82" s="1">
        <v>21</v>
      </c>
      <c r="G82" s="5">
        <f>+G74*E82/100</f>
        <v>18715017.142441455</v>
      </c>
    </row>
    <row r="83" spans="1:11" ht="18" customHeight="1" x14ac:dyDescent="0.2">
      <c r="A83" s="14"/>
      <c r="B83" s="14"/>
    </row>
    <row r="84" spans="1:11" ht="18" customHeight="1" x14ac:dyDescent="0.2">
      <c r="A84" s="8" t="s">
        <v>117</v>
      </c>
      <c r="B84" s="8"/>
      <c r="C84" s="9" t="s">
        <v>118</v>
      </c>
      <c r="D84" s="10"/>
      <c r="E84" s="11"/>
      <c r="F84" s="12"/>
      <c r="G84" s="13">
        <f>+G79+G81+0.01</f>
        <v>110062124.6334057</v>
      </c>
      <c r="H84" s="34">
        <f>G84/G11</f>
        <v>2.032574394163738</v>
      </c>
      <c r="I84" s="34">
        <f>+G84/1.105</f>
        <v>99603732.699914664</v>
      </c>
    </row>
    <row r="85" spans="1:11" ht="18" customHeight="1" x14ac:dyDescent="0.2">
      <c r="A85" s="14"/>
      <c r="B85" s="14"/>
    </row>
    <row r="86" spans="1:11" ht="18" customHeight="1" x14ac:dyDescent="0.2">
      <c r="A86" s="14"/>
      <c r="B86" s="14"/>
      <c r="F86" s="26"/>
      <c r="G86" s="81"/>
      <c r="I86" s="96"/>
      <c r="J86" s="96"/>
      <c r="K86" s="96"/>
    </row>
    <row r="87" spans="1:11" ht="18" customHeight="1" x14ac:dyDescent="0.2">
      <c r="A87" s="14"/>
      <c r="B87" s="14"/>
      <c r="E87" s="1" t="s">
        <v>119</v>
      </c>
      <c r="F87" s="84">
        <v>15585583.779999999</v>
      </c>
      <c r="G87" s="15" t="s">
        <v>120</v>
      </c>
      <c r="H87" s="82">
        <v>45811</v>
      </c>
      <c r="I87" s="34"/>
    </row>
    <row r="88" spans="1:11" x14ac:dyDescent="0.2">
      <c r="F88" s="26"/>
      <c r="G88" s="15"/>
      <c r="I88" s="34"/>
    </row>
    <row r="89" spans="1:11" x14ac:dyDescent="0.2">
      <c r="F89" s="26"/>
      <c r="G89" s="15"/>
      <c r="I89" s="34"/>
    </row>
    <row r="90" spans="1:11" x14ac:dyDescent="0.2">
      <c r="F90" s="26"/>
      <c r="G90" s="15"/>
      <c r="I90" s="34"/>
    </row>
    <row r="91" spans="1:11" x14ac:dyDescent="0.2">
      <c r="F91" s="26"/>
      <c r="G91" s="15"/>
      <c r="I91" s="34"/>
    </row>
    <row r="92" spans="1:11" x14ac:dyDescent="0.2">
      <c r="F92" s="26"/>
      <c r="G92" s="15"/>
      <c r="I92" s="34"/>
    </row>
    <row r="93" spans="1:11" x14ac:dyDescent="0.2">
      <c r="F93" s="26"/>
      <c r="G93" s="15"/>
      <c r="I93" s="34"/>
    </row>
    <row r="94" spans="1:11" x14ac:dyDescent="0.2">
      <c r="F94" s="26"/>
      <c r="G94" s="15"/>
      <c r="I94" s="34"/>
    </row>
    <row r="95" spans="1:11" x14ac:dyDescent="0.2">
      <c r="F95" s="26"/>
      <c r="G95" s="15"/>
    </row>
    <row r="96" spans="1:11" x14ac:dyDescent="0.2">
      <c r="F96" s="26"/>
      <c r="G96" s="15"/>
    </row>
  </sheetData>
  <mergeCells count="1">
    <mergeCell ref="I86:K8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B29C-4628-4F61-A530-EB58DC71F5A6}">
  <dimension ref="A1:G27"/>
  <sheetViews>
    <sheetView workbookViewId="0">
      <selection activeCell="F14" sqref="F14"/>
    </sheetView>
  </sheetViews>
  <sheetFormatPr baseColWidth="10" defaultColWidth="12" defaultRowHeight="10.199999999999999" x14ac:dyDescent="0.2"/>
  <cols>
    <col min="1" max="2" width="12.85546875" customWidth="1"/>
    <col min="3" max="3" width="66.85546875" customWidth="1"/>
    <col min="4" max="4" width="12.85546875" style="23" customWidth="1"/>
    <col min="5" max="5" width="12.85546875" style="24" customWidth="1"/>
    <col min="6" max="6" width="15.85546875" style="18" customWidth="1"/>
    <col min="7" max="7" width="15.85546875" style="17" customWidth="1"/>
  </cols>
  <sheetData>
    <row r="1" spans="1:7" s="15" customFormat="1" ht="44.25" customHeight="1" x14ac:dyDescent="0.2">
      <c r="A1" s="19"/>
      <c r="C1" s="60"/>
      <c r="D1" s="1"/>
      <c r="E1" s="1"/>
      <c r="F1" s="7"/>
      <c r="G1" s="5"/>
    </row>
    <row r="2" spans="1:7" s="15" customFormat="1" ht="12" x14ac:dyDescent="0.2">
      <c r="A2" s="21"/>
      <c r="C2" s="35"/>
      <c r="D2" s="1"/>
      <c r="E2" s="1"/>
      <c r="F2" s="7"/>
      <c r="G2" s="5"/>
    </row>
    <row r="3" spans="1:7" s="15" customFormat="1" x14ac:dyDescent="0.2">
      <c r="D3" s="16"/>
      <c r="E3" s="1"/>
      <c r="F3" s="5"/>
      <c r="G3" s="7"/>
    </row>
    <row r="4" spans="1:7" s="15" customFormat="1" x14ac:dyDescent="0.2">
      <c r="A4" s="15" t="s">
        <v>0</v>
      </c>
      <c r="B4" s="15" t="s">
        <v>1</v>
      </c>
      <c r="D4" s="16"/>
      <c r="E4" s="1"/>
      <c r="F4" s="5"/>
      <c r="G4" s="7"/>
    </row>
    <row r="5" spans="1:7" s="15" customFormat="1" x14ac:dyDescent="0.2">
      <c r="A5" s="15" t="s">
        <v>2</v>
      </c>
      <c r="B5" t="s">
        <v>3</v>
      </c>
      <c r="D5" s="16"/>
      <c r="E5" s="1"/>
      <c r="F5" s="5"/>
      <c r="G5" s="7"/>
    </row>
    <row r="6" spans="1:7" s="15" customFormat="1" x14ac:dyDescent="0.2">
      <c r="A6" s="15" t="s">
        <v>4</v>
      </c>
      <c r="B6" s="27">
        <v>45940</v>
      </c>
      <c r="D6" s="16"/>
      <c r="E6" s="1"/>
      <c r="F6" s="5"/>
      <c r="G6" s="7"/>
    </row>
    <row r="7" spans="1:7" s="15" customFormat="1" x14ac:dyDescent="0.2">
      <c r="A7" s="15" t="s">
        <v>5</v>
      </c>
      <c r="B7" s="15" t="s">
        <v>6</v>
      </c>
      <c r="C7" s="3"/>
      <c r="D7" s="16"/>
      <c r="E7" s="1"/>
      <c r="F7" s="5"/>
      <c r="G7" s="7"/>
    </row>
    <row r="8" spans="1:7" s="38" customFormat="1" ht="18" customHeight="1" x14ac:dyDescent="0.2">
      <c r="A8" s="15" t="s">
        <v>7</v>
      </c>
      <c r="B8" s="15"/>
      <c r="C8" s="15"/>
      <c r="D8" s="35"/>
      <c r="E8" s="36"/>
      <c r="F8" s="33"/>
      <c r="G8" s="33"/>
    </row>
    <row r="9" spans="1:7" s="15" customFormat="1" x14ac:dyDescent="0.2">
      <c r="C9" s="3"/>
      <c r="D9" s="16"/>
      <c r="E9" s="1"/>
      <c r="F9" s="5"/>
      <c r="G9" s="7"/>
    </row>
    <row r="10" spans="1:7" s="37" customFormat="1" ht="26.25" customHeight="1" x14ac:dyDescent="0.2">
      <c r="A10" s="68" t="s">
        <v>8</v>
      </c>
      <c r="B10" s="68" t="s">
        <v>9</v>
      </c>
      <c r="C10" s="69" t="s">
        <v>10</v>
      </c>
      <c r="D10" s="70" t="s">
        <v>11</v>
      </c>
      <c r="E10" s="71" t="s">
        <v>12</v>
      </c>
      <c r="F10" s="72" t="s">
        <v>13</v>
      </c>
      <c r="G10" s="72" t="s">
        <v>14</v>
      </c>
    </row>
    <row r="11" spans="1:7" s="28" customFormat="1" ht="23.25" customHeight="1" x14ac:dyDescent="0.2">
      <c r="A11" s="88"/>
      <c r="B11" s="89" t="s">
        <v>21</v>
      </c>
      <c r="C11" s="90" t="s">
        <v>22</v>
      </c>
      <c r="D11" s="91" t="s">
        <v>23</v>
      </c>
      <c r="E11" s="92">
        <v>8800</v>
      </c>
      <c r="F11" s="93">
        <f>'Análisis de precios'!G11*Cascada!H84</f>
        <v>12507.059617432469</v>
      </c>
      <c r="G11" s="93">
        <f>F11*E11</f>
        <v>110062124.63340573</v>
      </c>
    </row>
    <row r="12" spans="1:7" ht="18" customHeight="1" x14ac:dyDescent="0.2">
      <c r="F12" s="73" t="s">
        <v>121</v>
      </c>
      <c r="G12" s="74">
        <f>SUM(G11:G11)</f>
        <v>110062124.63340573</v>
      </c>
    </row>
    <row r="13" spans="1:7" ht="18" customHeight="1" x14ac:dyDescent="0.2">
      <c r="A13" s="86" t="s">
        <v>122</v>
      </c>
    </row>
    <row r="14" spans="1:7" ht="18" customHeight="1" x14ac:dyDescent="0.2">
      <c r="A14" s="80" t="s">
        <v>123</v>
      </c>
    </row>
    <row r="15" spans="1:7" ht="18" customHeight="1" x14ac:dyDescent="0.2">
      <c r="A15" t="s">
        <v>124</v>
      </c>
    </row>
    <row r="16" spans="1:7" x14ac:dyDescent="0.2">
      <c r="A16" s="80" t="s">
        <v>125</v>
      </c>
    </row>
    <row r="17" spans="1:1" x14ac:dyDescent="0.2">
      <c r="A17" s="87" t="s">
        <v>126</v>
      </c>
    </row>
    <row r="18" spans="1:1" x14ac:dyDescent="0.2">
      <c r="A18" s="87" t="s">
        <v>127</v>
      </c>
    </row>
    <row r="19" spans="1:1" x14ac:dyDescent="0.2">
      <c r="A19" s="80" t="s">
        <v>128</v>
      </c>
    </row>
    <row r="20" spans="1:1" x14ac:dyDescent="0.2">
      <c r="A20" t="s">
        <v>129</v>
      </c>
    </row>
    <row r="21" spans="1:1" x14ac:dyDescent="0.2">
      <c r="A21" s="87" t="s">
        <v>130</v>
      </c>
    </row>
    <row r="22" spans="1:1" x14ac:dyDescent="0.2">
      <c r="A22" s="87" t="s">
        <v>131</v>
      </c>
    </row>
    <row r="23" spans="1:1" x14ac:dyDescent="0.2">
      <c r="A23" s="87" t="s">
        <v>132</v>
      </c>
    </row>
    <row r="24" spans="1:1" x14ac:dyDescent="0.2">
      <c r="A24" s="80" t="s">
        <v>133</v>
      </c>
    </row>
    <row r="25" spans="1:1" x14ac:dyDescent="0.2">
      <c r="A25" s="87" t="s">
        <v>134</v>
      </c>
    </row>
    <row r="26" spans="1:1" x14ac:dyDescent="0.2">
      <c r="A26" s="87" t="s">
        <v>135</v>
      </c>
    </row>
    <row r="27" spans="1:1" x14ac:dyDescent="0.2">
      <c r="A27" s="87" t="s">
        <v>136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0F72-4306-4BA2-8EAD-1D168EBF191C}">
  <dimension ref="A1:J12"/>
  <sheetViews>
    <sheetView workbookViewId="0">
      <selection activeCell="I4" sqref="I4"/>
    </sheetView>
  </sheetViews>
  <sheetFormatPr baseColWidth="10" defaultColWidth="12" defaultRowHeight="10.199999999999999" x14ac:dyDescent="0.2"/>
  <cols>
    <col min="1" max="2" width="12.85546875" customWidth="1"/>
    <col min="3" max="3" width="66.85546875" customWidth="1"/>
    <col min="4" max="4" width="12.85546875" style="23" customWidth="1"/>
    <col min="5" max="5" width="12.85546875" style="24" customWidth="1"/>
  </cols>
  <sheetData>
    <row r="1" spans="1:10" s="15" customFormat="1" ht="44.25" customHeight="1" x14ac:dyDescent="0.2">
      <c r="A1" s="19"/>
      <c r="C1" s="60"/>
      <c r="D1" s="1"/>
      <c r="E1" s="1"/>
    </row>
    <row r="2" spans="1:10" s="15" customFormat="1" ht="12" x14ac:dyDescent="0.2">
      <c r="A2" s="21"/>
      <c r="C2" s="35"/>
      <c r="D2" s="1"/>
      <c r="E2" s="1"/>
    </row>
    <row r="3" spans="1:10" s="15" customFormat="1" x14ac:dyDescent="0.2">
      <c r="D3" s="16"/>
      <c r="E3" s="1"/>
    </row>
    <row r="4" spans="1:10" s="15" customFormat="1" x14ac:dyDescent="0.2">
      <c r="A4" s="15" t="s">
        <v>0</v>
      </c>
      <c r="B4" s="15" t="s">
        <v>1</v>
      </c>
      <c r="D4" s="16"/>
      <c r="E4" s="1"/>
    </row>
    <row r="5" spans="1:10" s="15" customFormat="1" x14ac:dyDescent="0.2">
      <c r="A5" s="15" t="s">
        <v>2</v>
      </c>
      <c r="B5" t="s">
        <v>3</v>
      </c>
      <c r="D5" s="16"/>
      <c r="E5" s="1"/>
    </row>
    <row r="6" spans="1:10" s="15" customFormat="1" x14ac:dyDescent="0.2">
      <c r="A6" s="15" t="s">
        <v>4</v>
      </c>
      <c r="B6" s="27">
        <v>45940</v>
      </c>
      <c r="D6" s="16"/>
      <c r="E6" s="1"/>
    </row>
    <row r="7" spans="1:10" s="15" customFormat="1" x14ac:dyDescent="0.2">
      <c r="A7" s="15" t="s">
        <v>5</v>
      </c>
      <c r="B7" s="15" t="s">
        <v>6</v>
      </c>
      <c r="C7" s="3"/>
      <c r="D7" s="16"/>
      <c r="E7" s="1"/>
    </row>
    <row r="8" spans="1:10" s="38" customFormat="1" ht="18" customHeight="1" x14ac:dyDescent="0.2">
      <c r="A8" s="15" t="s">
        <v>7</v>
      </c>
      <c r="B8" s="15"/>
      <c r="C8" s="15"/>
      <c r="D8" s="35"/>
      <c r="E8" s="36"/>
    </row>
    <row r="9" spans="1:10" s="15" customFormat="1" x14ac:dyDescent="0.2">
      <c r="C9" s="3"/>
      <c r="D9" s="16"/>
      <c r="E9" s="1"/>
    </row>
    <row r="10" spans="1:10" s="37" customFormat="1" ht="26.25" customHeight="1" x14ac:dyDescent="0.2">
      <c r="A10" s="68" t="s">
        <v>8</v>
      </c>
      <c r="B10" s="68" t="s">
        <v>9</v>
      </c>
      <c r="C10" s="69" t="s">
        <v>10</v>
      </c>
      <c r="D10" s="70" t="s">
        <v>11</v>
      </c>
      <c r="E10" s="71" t="s">
        <v>12</v>
      </c>
      <c r="F10" s="97" t="s">
        <v>137</v>
      </c>
      <c r="G10" s="98"/>
      <c r="H10" s="98"/>
      <c r="I10" s="98"/>
      <c r="J10" s="98"/>
    </row>
    <row r="11" spans="1:10" s="28" customFormat="1" ht="23.25" customHeight="1" x14ac:dyDescent="0.2">
      <c r="A11" s="88"/>
      <c r="B11" s="89" t="s">
        <v>21</v>
      </c>
      <c r="C11" s="90" t="s">
        <v>22</v>
      </c>
      <c r="D11" s="91" t="s">
        <v>23</v>
      </c>
      <c r="E11" s="92">
        <v>8800</v>
      </c>
      <c r="F11" s="99"/>
      <c r="G11" s="98"/>
      <c r="H11" s="98"/>
      <c r="I11" s="98"/>
      <c r="J11" s="98"/>
    </row>
    <row r="12" spans="1:10" ht="18" customHeight="1" x14ac:dyDescent="0.2"/>
  </sheetData>
  <mergeCells count="1">
    <mergeCell ref="F10:J11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G29"/>
  <sheetViews>
    <sheetView workbookViewId="0">
      <selection activeCell="A17" sqref="A17:A18"/>
    </sheetView>
  </sheetViews>
  <sheetFormatPr baseColWidth="10" defaultColWidth="12" defaultRowHeight="10.199999999999999" x14ac:dyDescent="0.2"/>
  <cols>
    <col min="1" max="2" width="12.85546875" customWidth="1"/>
    <col min="3" max="3" width="66.85546875" customWidth="1"/>
    <col min="4" max="4" width="12.85546875" style="23" customWidth="1"/>
    <col min="5" max="5" width="12.85546875" style="24" customWidth="1"/>
    <col min="6" max="6" width="12.85546875" style="18" customWidth="1"/>
    <col min="7" max="7" width="15.85546875" style="18" customWidth="1"/>
  </cols>
  <sheetData>
    <row r="1" spans="1:7" s="15" customFormat="1" ht="44.25" customHeight="1" x14ac:dyDescent="0.2">
      <c r="A1" s="19"/>
      <c r="C1" s="60"/>
      <c r="D1" s="1"/>
      <c r="E1" s="1"/>
      <c r="F1" s="7"/>
      <c r="G1" s="7"/>
    </row>
    <row r="2" spans="1:7" s="15" customFormat="1" ht="12" x14ac:dyDescent="0.2">
      <c r="A2" s="21"/>
      <c r="C2" s="35"/>
      <c r="D2" s="1"/>
      <c r="E2" s="1"/>
      <c r="F2" s="7"/>
      <c r="G2" s="7"/>
    </row>
    <row r="3" spans="1:7" s="15" customFormat="1" x14ac:dyDescent="0.2">
      <c r="D3" s="16"/>
      <c r="E3" s="1"/>
      <c r="F3" s="5"/>
      <c r="G3" s="5"/>
    </row>
    <row r="4" spans="1:7" s="15" customFormat="1" x14ac:dyDescent="0.2">
      <c r="A4" s="15" t="s">
        <v>0</v>
      </c>
      <c r="B4" s="15" t="s">
        <v>1</v>
      </c>
      <c r="D4" s="16"/>
      <c r="E4" s="1"/>
      <c r="F4" s="5"/>
      <c r="G4" s="5"/>
    </row>
    <row r="5" spans="1:7" s="15" customFormat="1" x14ac:dyDescent="0.2">
      <c r="A5" s="15" t="s">
        <v>2</v>
      </c>
      <c r="B5" t="s">
        <v>3</v>
      </c>
      <c r="D5" s="16"/>
      <c r="E5" s="1"/>
      <c r="F5" s="5"/>
      <c r="G5" s="5"/>
    </row>
    <row r="6" spans="1:7" s="15" customFormat="1" x14ac:dyDescent="0.2">
      <c r="A6" s="15" t="s">
        <v>4</v>
      </c>
      <c r="B6" s="27">
        <v>45940</v>
      </c>
      <c r="D6" s="16"/>
      <c r="E6" s="1"/>
      <c r="F6" s="5"/>
      <c r="G6" s="5"/>
    </row>
    <row r="7" spans="1:7" s="15" customFormat="1" x14ac:dyDescent="0.2">
      <c r="A7" s="15" t="s">
        <v>5</v>
      </c>
      <c r="B7" s="15" t="s">
        <v>6</v>
      </c>
      <c r="C7" s="3"/>
      <c r="D7" s="16"/>
      <c r="E7" s="1"/>
      <c r="F7" s="5"/>
      <c r="G7" s="5"/>
    </row>
    <row r="8" spans="1:7" s="38" customFormat="1" ht="18" customHeight="1" x14ac:dyDescent="0.2">
      <c r="A8" s="15" t="s">
        <v>7</v>
      </c>
      <c r="B8" s="15"/>
      <c r="C8" s="15"/>
      <c r="D8" s="35"/>
      <c r="E8" s="36"/>
      <c r="F8" s="33"/>
      <c r="G8" s="33"/>
    </row>
    <row r="9" spans="1:7" s="15" customFormat="1" x14ac:dyDescent="0.2">
      <c r="C9" s="3"/>
      <c r="D9" s="16"/>
      <c r="E9" s="1"/>
      <c r="F9" s="5"/>
      <c r="G9" s="5"/>
    </row>
    <row r="10" spans="1:7" s="37" customFormat="1" ht="26.25" customHeight="1" x14ac:dyDescent="0.2">
      <c r="A10" s="68" t="s">
        <v>8</v>
      </c>
      <c r="B10" s="68" t="s">
        <v>9</v>
      </c>
      <c r="C10" s="69" t="s">
        <v>10</v>
      </c>
      <c r="D10" s="70" t="s">
        <v>11</v>
      </c>
      <c r="E10" s="71" t="s">
        <v>12</v>
      </c>
      <c r="F10" s="72"/>
      <c r="G10" s="72" t="s">
        <v>13</v>
      </c>
    </row>
    <row r="11" spans="1:7" s="38" customFormat="1" ht="18" customHeight="1" x14ac:dyDescent="0.2">
      <c r="A11" s="56" t="s">
        <v>27</v>
      </c>
      <c r="B11" s="75"/>
      <c r="C11" s="76" t="s">
        <v>28</v>
      </c>
      <c r="D11" s="77" t="s">
        <v>29</v>
      </c>
      <c r="E11" s="78">
        <f ca="1">SUMIF('Análisis de precios'!C10:P17,C11,'Análisis de precios'!N10:$N$17)</f>
        <v>4693.333333333333</v>
      </c>
      <c r="F11" s="79">
        <v>4409</v>
      </c>
      <c r="G11" s="79">
        <f ca="1">+E11*F11</f>
        <v>20692906.666666664</v>
      </c>
    </row>
    <row r="12" spans="1:7" s="38" customFormat="1" ht="18" customHeight="1" x14ac:dyDescent="0.2">
      <c r="A12" s="56" t="s">
        <v>30</v>
      </c>
      <c r="B12" s="76">
        <v>110041</v>
      </c>
      <c r="C12" s="76" t="s">
        <v>31</v>
      </c>
      <c r="D12" s="77" t="s">
        <v>32</v>
      </c>
      <c r="E12" s="78">
        <f ca="1">SUMIF('Análisis de precios'!C11:P20,C12,'Análisis de precios'!N11:$N$17)</f>
        <v>88</v>
      </c>
      <c r="F12" s="79">
        <v>800</v>
      </c>
      <c r="G12" s="79">
        <f t="shared" ref="G12:G17" ca="1" si="0">+E12*F12</f>
        <v>70400</v>
      </c>
    </row>
    <row r="13" spans="1:7" s="38" customFormat="1" ht="18" customHeight="1" x14ac:dyDescent="0.2">
      <c r="A13" s="56" t="s">
        <v>30</v>
      </c>
      <c r="B13" s="76">
        <v>110020</v>
      </c>
      <c r="C13" s="76" t="s">
        <v>33</v>
      </c>
      <c r="D13" s="77" t="s">
        <v>34</v>
      </c>
      <c r="E13" s="78">
        <f ca="1">SUMIF('Análisis de precios'!C12:P21,C13,'Análisis de precios'!N12:$N$17)</f>
        <v>880</v>
      </c>
      <c r="F13" s="79">
        <f>4000/1.21</f>
        <v>3305.7851239669421</v>
      </c>
      <c r="G13" s="79">
        <f t="shared" ca="1" si="0"/>
        <v>2909090.9090909092</v>
      </c>
    </row>
    <row r="14" spans="1:7" s="38" customFormat="1" ht="18" customHeight="1" x14ac:dyDescent="0.2">
      <c r="A14" s="56" t="s">
        <v>30</v>
      </c>
      <c r="B14" s="76">
        <v>110317</v>
      </c>
      <c r="C14" s="76" t="s">
        <v>35</v>
      </c>
      <c r="D14" s="77" t="s">
        <v>34</v>
      </c>
      <c r="E14" s="78">
        <f ca="1">SUMIF('Análisis de precios'!C14:P23,C14,'Análisis de precios'!N14:$N$17)</f>
        <v>2200</v>
      </c>
      <c r="F14" s="79">
        <v>6850</v>
      </c>
      <c r="G14" s="79">
        <f t="shared" ca="1" si="0"/>
        <v>15070000</v>
      </c>
    </row>
    <row r="15" spans="1:7" s="38" customFormat="1" ht="18" customHeight="1" x14ac:dyDescent="0.2">
      <c r="A15" s="56" t="s">
        <v>30</v>
      </c>
      <c r="B15" s="76">
        <v>110090</v>
      </c>
      <c r="C15" s="76" t="s">
        <v>36</v>
      </c>
      <c r="D15" s="77" t="s">
        <v>32</v>
      </c>
      <c r="E15" s="78">
        <f ca="1">SUMIF('Análisis de precios'!C15:P24,C15,'Análisis de precios'!N15:$N$17)</f>
        <v>11</v>
      </c>
      <c r="F15" s="79">
        <v>2100</v>
      </c>
      <c r="G15" s="79">
        <f t="shared" ca="1" si="0"/>
        <v>23100</v>
      </c>
    </row>
    <row r="16" spans="1:7" ht="18" customHeight="1" x14ac:dyDescent="0.2">
      <c r="A16" s="56" t="s">
        <v>30</v>
      </c>
      <c r="B16" s="76">
        <v>110062</v>
      </c>
      <c r="C16" s="76" t="s">
        <v>37</v>
      </c>
      <c r="D16" s="94" t="s">
        <v>32</v>
      </c>
      <c r="E16" s="78">
        <f ca="1">SUMIF('Análisis de precios'!C15:P25,C16,'Análisis de precios'!N15:$N$17)</f>
        <v>22</v>
      </c>
      <c r="F16" s="79">
        <v>4200</v>
      </c>
      <c r="G16" s="79">
        <f t="shared" ca="1" si="0"/>
        <v>92400</v>
      </c>
    </row>
    <row r="17" spans="1:7" ht="18" customHeight="1" x14ac:dyDescent="0.2">
      <c r="A17" s="56" t="s">
        <v>30</v>
      </c>
      <c r="B17" s="76">
        <v>110351</v>
      </c>
      <c r="C17" s="76" t="s">
        <v>38</v>
      </c>
      <c r="D17" s="94" t="s">
        <v>39</v>
      </c>
      <c r="E17" s="78">
        <f ca="1">SUMIF('Análisis de precios'!C16:P26,C17,'Análisis de precios'!N16:$N$17)</f>
        <v>5280</v>
      </c>
      <c r="F17" s="79">
        <f>3500/1.21</f>
        <v>2892.5619834710747</v>
      </c>
      <c r="G17" s="79">
        <f t="shared" ca="1" si="0"/>
        <v>15272727.272727273</v>
      </c>
    </row>
    <row r="18" spans="1:7" ht="18" customHeight="1" x14ac:dyDescent="0.2">
      <c r="A18" s="56" t="s">
        <v>30</v>
      </c>
      <c r="B18" s="76"/>
      <c r="C18" s="76" t="s">
        <v>139</v>
      </c>
      <c r="D18" s="77" t="s">
        <v>140</v>
      </c>
      <c r="E18" s="78">
        <f ca="1">SUMIF('Análisis de precios'!C17:P27,C18,'Análisis de precios'!N17:$N$17)</f>
        <v>0.5</v>
      </c>
      <c r="F18" s="79">
        <v>37000</v>
      </c>
      <c r="G18" s="79">
        <f t="shared" ref="G18" ca="1" si="1">+E18*F18</f>
        <v>18500</v>
      </c>
    </row>
    <row r="19" spans="1:7" ht="18" customHeight="1" x14ac:dyDescent="0.2">
      <c r="F19" s="73" t="s">
        <v>138</v>
      </c>
      <c r="G19" s="73">
        <f ca="1">SUM(G11:G18)</f>
        <v>54149124.848484851</v>
      </c>
    </row>
    <row r="20" spans="1:7" ht="18" customHeight="1" x14ac:dyDescent="0.2"/>
    <row r="21" spans="1:7" ht="18" customHeight="1" x14ac:dyDescent="0.2"/>
    <row r="22" spans="1:7" ht="18" customHeight="1" x14ac:dyDescent="0.2"/>
    <row r="23" spans="1:7" ht="18" customHeight="1" x14ac:dyDescent="0.2"/>
    <row r="24" spans="1:7" ht="18" customHeight="1" x14ac:dyDescent="0.2"/>
    <row r="25" spans="1:7" ht="18" customHeight="1" x14ac:dyDescent="0.2"/>
    <row r="26" spans="1:7" ht="18" customHeight="1" x14ac:dyDescent="0.2"/>
    <row r="27" spans="1:7" ht="18" customHeight="1" x14ac:dyDescent="0.2"/>
    <row r="28" spans="1:7" ht="18" customHeight="1" x14ac:dyDescent="0.2"/>
    <row r="29" spans="1:7" ht="18" customHeight="1" x14ac:dyDescent="0.2"/>
  </sheetData>
  <pageMargins left="0.7" right="0.7" top="0.75" bottom="0.75" header="0.3" footer="0.3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1992123F3ED4458D211F3215D79855" ma:contentTypeVersion="12" ma:contentTypeDescription="Crear nuevo documento." ma:contentTypeScope="" ma:versionID="3ec78013fdfe534af527891298d4da4a">
  <xsd:schema xmlns:xsd="http://www.w3.org/2001/XMLSchema" xmlns:xs="http://www.w3.org/2001/XMLSchema" xmlns:p="http://schemas.microsoft.com/office/2006/metadata/properties" xmlns:ns2="403d9627-c9d7-46e7-8017-e32baaff6d78" xmlns:ns3="a5716b0a-2c4e-4acc-bcd6-6466f35c189e" targetNamespace="http://schemas.microsoft.com/office/2006/metadata/properties" ma:root="true" ma:fieldsID="26c75f4f0edf87eb780dae8e1f7fd93c" ns2:_="" ns3:_="">
    <xsd:import namespace="403d9627-c9d7-46e7-8017-e32baaff6d78"/>
    <xsd:import namespace="a5716b0a-2c4e-4acc-bcd6-6466f35c18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d9627-c9d7-46e7-8017-e32baaff6d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0202c90-e0a5-4dd3-83f4-bedda3fd8f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16b0a-2c4e-4acc-bcd6-6466f35c18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f82eac-4892-4499-97e5-748f0a1032b7}" ma:internalName="TaxCatchAll" ma:showField="CatchAllData" ma:web="a5716b0a-2c4e-4acc-bcd6-6466f35c18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3d9627-c9d7-46e7-8017-e32baaff6d78">
      <Terms xmlns="http://schemas.microsoft.com/office/infopath/2007/PartnerControls"/>
    </lcf76f155ced4ddcb4097134ff3c332f>
    <TaxCatchAll xmlns="a5716b0a-2c4e-4acc-bcd6-6466f35c189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53B9D0-123C-42EA-A5CF-C2AA31BF9F4D}"/>
</file>

<file path=customXml/itemProps2.xml><?xml version="1.0" encoding="utf-8"?>
<ds:datastoreItem xmlns:ds="http://schemas.openxmlformats.org/officeDocument/2006/customXml" ds:itemID="{3ED765E1-4950-4D95-841D-2C156701865D}">
  <ds:schemaRefs>
    <ds:schemaRef ds:uri="http://schemas.microsoft.com/office/2006/metadata/properties"/>
    <ds:schemaRef ds:uri="http://schemas.microsoft.com/office/infopath/2007/PartnerControls"/>
    <ds:schemaRef ds:uri="05c4b2f2-e7fe-472d-91b0-057ba03b10e8"/>
    <ds:schemaRef ds:uri="9a596f3c-466b-4833-ade8-25dba75eaf48"/>
    <ds:schemaRef ds:uri="403d9627-c9d7-46e7-8017-e32baaff6d78"/>
    <ds:schemaRef ds:uri="a5716b0a-2c4e-4acc-bcd6-6466f35c189e"/>
  </ds:schemaRefs>
</ds:datastoreItem>
</file>

<file path=customXml/itemProps3.xml><?xml version="1.0" encoding="utf-8"?>
<ds:datastoreItem xmlns:ds="http://schemas.openxmlformats.org/officeDocument/2006/customXml" ds:itemID="{03403359-0361-47E8-92DE-7EE45A84A2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Análisis de precios</vt:lpstr>
      <vt:lpstr>Cascada</vt:lpstr>
      <vt:lpstr>Precio</vt:lpstr>
      <vt:lpstr>Programa de trabajo</vt:lpstr>
      <vt:lpstr>Insumos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Mariano Vispo</cp:lastModifiedBy>
  <cp:revision/>
  <dcterms:created xsi:type="dcterms:W3CDTF">2016-05-19T21:58:14Z</dcterms:created>
  <dcterms:modified xsi:type="dcterms:W3CDTF">2026-04-23T14:35:02Z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0x0101008B1992123F3ED4458D211F3215D79855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