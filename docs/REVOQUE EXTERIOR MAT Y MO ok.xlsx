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inosolucionestecnicas733.sharepoint.com/sites/PINOSolucionesTcnicas/Documentos compartidos/COTIZACIONES/COT_-ANALISIS GENERALES/"/>
    </mc:Choice>
  </mc:AlternateContent>
  <xr:revisionPtr revIDLastSave="4533" documentId="8_{B7963B2E-5EA1-4F35-AE67-D0CF7819A938}" xr6:coauthVersionLast="47" xr6:coauthVersionMax="47" xr10:uidLastSave="{53338750-F352-46D0-A578-E695E1077A72}"/>
  <bookViews>
    <workbookView xWindow="-108" yWindow="-108" windowWidth="23256" windowHeight="12456" tabRatio="683" xr2:uid="{00000000-000D-0000-FFFF-FFFF00000000}"/>
  </bookViews>
  <sheets>
    <sheet name="Análisis de precios" sheetId="8" r:id="rId1"/>
    <sheet name="Cascada" sheetId="2" r:id="rId2"/>
    <sheet name="Precio" sheetId="20" r:id="rId3"/>
    <sheet name="Programa de trabajo" sheetId="15" r:id="rId4"/>
    <sheet name="Insumos" sheetId="19" r:id="rId5"/>
  </sheets>
  <externalReferences>
    <externalReference r:id="rId6"/>
  </externalReferences>
  <definedNames>
    <definedName name="_xlnm._FilterDatabase" localSheetId="0" hidden="1">'Análisis de precios'!$A$10:$Q$10</definedName>
    <definedName name="_xlnm._FilterDatabase" localSheetId="4" hidden="1">Insumos!$A$10:$G$282</definedName>
    <definedName name="_xlnm.Print_Area" localSheetId="2">Precio!$A$1:$G$10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9" l="1"/>
  <c r="F15" i="19"/>
  <c r="F14" i="19"/>
  <c r="F18" i="8"/>
  <c r="F17" i="8"/>
  <c r="F24" i="8"/>
  <c r="D23" i="20" l="1"/>
  <c r="F23" i="20"/>
  <c r="B5" i="20" l="1"/>
  <c r="B6" i="20"/>
  <c r="B4" i="20"/>
  <c r="N18" i="8" l="1"/>
  <c r="E15" i="20"/>
  <c r="E23" i="20" s="1"/>
  <c r="D17" i="20"/>
  <c r="E17" i="20"/>
  <c r="C17" i="20"/>
  <c r="D16" i="20"/>
  <c r="E16" i="20"/>
  <c r="C16" i="20"/>
  <c r="D15" i="20"/>
  <c r="C15" i="20"/>
  <c r="C23" i="20" s="1"/>
  <c r="D14" i="20"/>
  <c r="E14" i="20"/>
  <c r="C14" i="20"/>
  <c r="D13" i="20"/>
  <c r="C13" i="20"/>
  <c r="D12" i="20"/>
  <c r="E12" i="20"/>
  <c r="C12" i="20"/>
  <c r="F57" i="2"/>
  <c r="N23" i="8"/>
  <c r="N24" i="8"/>
  <c r="N25" i="8"/>
  <c r="P25" i="8" s="1"/>
  <c r="N20" i="8"/>
  <c r="R20" i="8" s="1"/>
  <c r="S20" i="8" s="1"/>
  <c r="G20" i="8"/>
  <c r="O20" i="8"/>
  <c r="E21" i="8"/>
  <c r="N21" i="8" s="1"/>
  <c r="P21" i="8" s="1"/>
  <c r="O21" i="8"/>
  <c r="O22" i="8"/>
  <c r="G23" i="8"/>
  <c r="O23" i="8"/>
  <c r="O24" i="8"/>
  <c r="G24" i="8"/>
  <c r="G25" i="8"/>
  <c r="O25" i="8"/>
  <c r="F38" i="2"/>
  <c r="G18" i="2"/>
  <c r="G45" i="2"/>
  <c r="G46" i="2"/>
  <c r="G48" i="2"/>
  <c r="G20" i="2"/>
  <c r="G19" i="2"/>
  <c r="N13" i="8"/>
  <c r="N14" i="8"/>
  <c r="N35" i="8"/>
  <c r="N38" i="8"/>
  <c r="N39" i="8"/>
  <c r="P24" i="8" l="1"/>
  <c r="E13" i="20"/>
  <c r="P23" i="8"/>
  <c r="P20" i="8"/>
  <c r="E22" i="8"/>
  <c r="R21" i="8"/>
  <c r="S21" i="8" s="1"/>
  <c r="G21" i="8"/>
  <c r="N22" i="8" l="1"/>
  <c r="G22" i="8"/>
  <c r="G19" i="8" s="1"/>
  <c r="H19" i="8" s="1"/>
  <c r="E13" i="19" l="1"/>
  <c r="E14" i="19"/>
  <c r="G14" i="19" s="1"/>
  <c r="E15" i="19"/>
  <c r="G15" i="19" s="1"/>
  <c r="E16" i="19"/>
  <c r="G16" i="19" s="1"/>
  <c r="E17" i="19"/>
  <c r="G17" i="19" s="1"/>
  <c r="E18" i="19"/>
  <c r="G18" i="19" s="1"/>
  <c r="E11" i="19"/>
  <c r="E12" i="19"/>
  <c r="T19" i="8"/>
  <c r="P22" i="8"/>
  <c r="R22" i="8"/>
  <c r="S22" i="8" s="1"/>
  <c r="G12" i="8"/>
  <c r="N12" i="8"/>
  <c r="O12" i="8"/>
  <c r="G13" i="8"/>
  <c r="O13" i="8"/>
  <c r="G14" i="8"/>
  <c r="O14" i="8"/>
  <c r="E16" i="8"/>
  <c r="G16" i="8" s="1"/>
  <c r="O16" i="8"/>
  <c r="G11" i="19" l="1"/>
  <c r="I11" i="19"/>
  <c r="J11" i="19" s="1"/>
  <c r="G12" i="19"/>
  <c r="I12" i="19"/>
  <c r="J12" i="19" s="1"/>
  <c r="I13" i="19"/>
  <c r="J13" i="19" s="1"/>
  <c r="G13" i="19"/>
  <c r="N16" i="8"/>
  <c r="P13" i="8"/>
  <c r="P12" i="8"/>
  <c r="P14" i="8"/>
  <c r="R13" i="8"/>
  <c r="S13" i="8" s="1"/>
  <c r="G11" i="8"/>
  <c r="T11" i="8" s="1"/>
  <c r="R14" i="8"/>
  <c r="S14" i="8" s="1"/>
  <c r="R12" i="8"/>
  <c r="S12" i="8" s="1"/>
  <c r="G20" i="19" l="1"/>
  <c r="R16" i="8"/>
  <c r="S16" i="8" s="1"/>
  <c r="P16" i="8"/>
  <c r="H11" i="8"/>
  <c r="R38" i="8" l="1"/>
  <c r="S38" i="8" s="1"/>
  <c r="R39" i="8"/>
  <c r="S39" i="8" s="1"/>
  <c r="N37" i="8"/>
  <c r="R37" i="8" s="1"/>
  <c r="S37" i="8" s="1"/>
  <c r="O39" i="8"/>
  <c r="G39" i="8"/>
  <c r="O38" i="8"/>
  <c r="G38" i="8"/>
  <c r="O37" i="8"/>
  <c r="G37" i="8"/>
  <c r="O35" i="8"/>
  <c r="G35" i="8"/>
  <c r="O34" i="8"/>
  <c r="O33" i="8"/>
  <c r="E33" i="8"/>
  <c r="O32" i="8"/>
  <c r="G32" i="8"/>
  <c r="O30" i="8"/>
  <c r="G30" i="8"/>
  <c r="O29" i="8"/>
  <c r="E29" i="8"/>
  <c r="O28" i="8"/>
  <c r="E28" i="8"/>
  <c r="O27" i="8"/>
  <c r="E27" i="8"/>
  <c r="O18" i="8"/>
  <c r="G18" i="8"/>
  <c r="O17" i="8"/>
  <c r="E17" i="8"/>
  <c r="N17" i="8" s="1"/>
  <c r="E34" i="8" l="1"/>
  <c r="N34" i="8" s="1"/>
  <c r="N33" i="8"/>
  <c r="G28" i="8"/>
  <c r="P18" i="8"/>
  <c r="G36" i="8"/>
  <c r="H36" i="8" s="1"/>
  <c r="N32" i="8"/>
  <c r="P39" i="8"/>
  <c r="P17" i="8"/>
  <c r="G17" i="8"/>
  <c r="G15" i="8" s="1"/>
  <c r="G27" i="8"/>
  <c r="P38" i="8"/>
  <c r="G29" i="8"/>
  <c r="G33" i="8"/>
  <c r="P37" i="8"/>
  <c r="G34" i="8" l="1"/>
  <c r="G31" i="8" s="1"/>
  <c r="H31" i="8" s="1"/>
  <c r="T15" i="8"/>
  <c r="H15" i="8"/>
  <c r="G26" i="8"/>
  <c r="T36" i="8" l="1"/>
  <c r="T31" i="8"/>
  <c r="P35" i="8" l="1"/>
  <c r="R33" i="8" l="1"/>
  <c r="S33" i="8" s="1"/>
  <c r="P33" i="8"/>
  <c r="R34" i="8"/>
  <c r="S34" i="8" s="1"/>
  <c r="P34" i="8"/>
  <c r="R32" i="8"/>
  <c r="S32" i="8" s="1"/>
  <c r="P32" i="8"/>
  <c r="N30" i="8" l="1"/>
  <c r="N29" i="8"/>
  <c r="N27" i="8"/>
  <c r="N28" i="8"/>
  <c r="H26" i="8"/>
  <c r="T26" i="8"/>
  <c r="P30" i="8" l="1"/>
  <c r="F12" i="2" s="1"/>
  <c r="T30" i="8"/>
  <c r="U30" i="8" s="1"/>
  <c r="V30" i="8" s="1"/>
  <c r="R28" i="8"/>
  <c r="S28" i="8" s="1"/>
  <c r="P28" i="8"/>
  <c r="P27" i="8"/>
  <c r="R27" i="8"/>
  <c r="S27" i="8" s="1"/>
  <c r="R29" i="8"/>
  <c r="S29" i="8" s="1"/>
  <c r="P29" i="8"/>
  <c r="F14" i="2"/>
  <c r="G14" i="2" s="1"/>
  <c r="B5" i="15"/>
  <c r="B6" i="15"/>
  <c r="B7" i="15"/>
  <c r="B4" i="15"/>
  <c r="B5" i="2"/>
  <c r="B6" i="2"/>
  <c r="B7" i="2"/>
  <c r="B4" i="2"/>
  <c r="F52" i="2"/>
  <c r="F51" i="2"/>
  <c r="G37" i="2"/>
  <c r="G21" i="2"/>
  <c r="G22" i="2"/>
  <c r="G23" i="2"/>
  <c r="G24" i="2"/>
  <c r="G25" i="2"/>
  <c r="G26" i="2"/>
  <c r="G27" i="2"/>
  <c r="G28" i="2"/>
  <c r="G29" i="2"/>
  <c r="G31" i="2"/>
  <c r="G32" i="2"/>
  <c r="G33" i="2"/>
  <c r="G34" i="2"/>
  <c r="G35" i="2"/>
  <c r="G36" i="2"/>
  <c r="G38" i="2"/>
  <c r="G40" i="2"/>
  <c r="G41" i="2"/>
  <c r="G42" i="2"/>
  <c r="G44" i="2"/>
  <c r="G49" i="2"/>
  <c r="G50" i="2"/>
  <c r="G51" i="2"/>
  <c r="G52" i="2"/>
  <c r="G53" i="2"/>
  <c r="G54" i="2"/>
  <c r="G56" i="2"/>
  <c r="G57" i="2"/>
  <c r="G58" i="2"/>
  <c r="G59" i="2"/>
  <c r="G60" i="2"/>
  <c r="G61" i="2"/>
  <c r="G62" i="2"/>
  <c r="G63" i="2"/>
  <c r="G64" i="2"/>
  <c r="G65" i="2"/>
  <c r="G66" i="2"/>
  <c r="G17" i="2"/>
  <c r="U36" i="8" l="1"/>
  <c r="H41" i="8"/>
  <c r="P41" i="8"/>
  <c r="V36" i="8" l="1"/>
  <c r="U37" i="8"/>
  <c r="F13" i="2"/>
  <c r="G12" i="2"/>
  <c r="F55" i="2"/>
  <c r="G55" i="2" s="1"/>
  <c r="G13" i="2" l="1"/>
  <c r="G11" i="2" s="1"/>
  <c r="F67" i="2" l="1"/>
  <c r="G67" i="2" s="1"/>
  <c r="G16" i="2" s="1"/>
  <c r="H16" i="2" s="1"/>
  <c r="G69" i="2" l="1"/>
  <c r="G72" i="2" s="1"/>
  <c r="G71" i="2" s="1"/>
  <c r="G74" i="2" s="1"/>
  <c r="G77" i="2" s="1"/>
  <c r="G78" i="2" l="1"/>
  <c r="G76" i="2" s="1"/>
  <c r="G80" i="2" s="1"/>
  <c r="K81" i="2" s="1"/>
  <c r="G83" i="2" l="1"/>
  <c r="G82" i="2" s="1"/>
  <c r="G85" i="2" s="1"/>
  <c r="H85" i="2" s="1"/>
  <c r="G88" i="2" l="1"/>
  <c r="G87" i="2" s="1"/>
  <c r="G90" i="2" s="1"/>
  <c r="K87" i="2" s="1"/>
  <c r="H90" i="2" l="1"/>
  <c r="G15" i="20" l="1"/>
  <c r="H15" i="20" s="1"/>
  <c r="G14" i="20"/>
  <c r="H14" i="20" s="1"/>
  <c r="G13" i="20"/>
  <c r="H13" i="20" s="1"/>
  <c r="G12" i="20"/>
  <c r="H12" i="20" s="1"/>
  <c r="G17" i="20"/>
  <c r="H17" i="20" s="1"/>
  <c r="G16" i="20"/>
  <c r="H16" i="20" s="1"/>
  <c r="I11" i="20" l="1"/>
  <c r="M11" i="20" s="1"/>
  <c r="G23" i="20" s="1"/>
  <c r="H23" i="20" s="1"/>
  <c r="I22" i="20" l="1"/>
  <c r="I25" i="20" s="1"/>
  <c r="K23" i="20" s="1"/>
  <c r="I19" i="20"/>
  <c r="K19" i="20" s="1"/>
  <c r="L22" i="20" l="1"/>
  <c r="K25" i="20"/>
  <c r="K13" i="20"/>
  <c r="K15" i="20"/>
  <c r="K17" i="20"/>
  <c r="K12" i="20"/>
  <c r="K14" i="20"/>
  <c r="K16" i="20"/>
  <c r="L1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K25" authorId="0" shapeId="0" xr:uid="{B22F2718-EED1-42E1-A48C-2C1EED21FC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IVA incluido
</t>
        </r>
      </text>
    </comment>
  </commentList>
</comments>
</file>

<file path=xl/sharedStrings.xml><?xml version="1.0" encoding="utf-8"?>
<sst xmlns="http://schemas.openxmlformats.org/spreadsheetml/2006/main" count="376" uniqueCount="152">
  <si>
    <t>CLIENTE:</t>
  </si>
  <si>
    <t>OBRA:</t>
  </si>
  <si>
    <t>EDIFICIO CALLE TUCUMAN 1332</t>
  </si>
  <si>
    <t>FECHA:</t>
  </si>
  <si>
    <t>CONTACTO:</t>
  </si>
  <si>
    <t>ANÁLISIS DE PRECIOS</t>
  </si>
  <si>
    <t>RUBRO</t>
  </si>
  <si>
    <t>ÍTEM</t>
  </si>
  <si>
    <t>DENOMINACIÓN</t>
  </si>
  <si>
    <t>UNIDAD</t>
  </si>
  <si>
    <t>CANTIDAD</t>
  </si>
  <si>
    <t>PRECIO UNITARIO</t>
  </si>
  <si>
    <t>PRECIO PARCIAL</t>
  </si>
  <si>
    <t>PRECIO RUBRO</t>
  </si>
  <si>
    <t>% ITEM</t>
  </si>
  <si>
    <t>% RUBRO</t>
  </si>
  <si>
    <t>Cantidad parcial</t>
  </si>
  <si>
    <t>Precio unitario</t>
  </si>
  <si>
    <t>Precio parcial</t>
  </si>
  <si>
    <t>5.7.</t>
  </si>
  <si>
    <t>Armado y desarmado de Balancin exterior</t>
  </si>
  <si>
    <t>PERSONAS</t>
  </si>
  <si>
    <t>DIAS TOT</t>
  </si>
  <si>
    <t xml:space="preserve">DIAS DE TRABAJO </t>
  </si>
  <si>
    <t>MO</t>
  </si>
  <si>
    <t xml:space="preserve">Oficial balancinero </t>
  </si>
  <si>
    <t>hs</t>
  </si>
  <si>
    <t xml:space="preserve">Maquinista </t>
  </si>
  <si>
    <t xml:space="preserve">Ayudante </t>
  </si>
  <si>
    <t>5.8.</t>
  </si>
  <si>
    <t>Colocación De Puente De Adherencia Exterior</t>
  </si>
  <si>
    <t>M2</t>
  </si>
  <si>
    <t>MAT</t>
  </si>
  <si>
    <t>Puente De Adherencia  ic 52 (solido) X30 KG</t>
  </si>
  <si>
    <t>KG</t>
  </si>
  <si>
    <t>Puente De Adherencia  ic 52 (liquido) X 18 KG</t>
  </si>
  <si>
    <t>5.9.</t>
  </si>
  <si>
    <t>Enchape Sobre Estructura De hormigón Exterior</t>
  </si>
  <si>
    <t>Revoque proyectado WEBER PROMEX E 3 en 1</t>
  </si>
  <si>
    <t>kg</t>
  </si>
  <si>
    <t>Malla Revoque Fibra De Vidrio 90 grs 5x5 mm (Rollo 1x50m)</t>
  </si>
  <si>
    <t>m2</t>
  </si>
  <si>
    <t>EQUIPOS</t>
  </si>
  <si>
    <t>Maquina proyectadora</t>
  </si>
  <si>
    <t>5.10.</t>
  </si>
  <si>
    <t>Revoque proyectado Exterior 3 en 1</t>
  </si>
  <si>
    <t>palets</t>
  </si>
  <si>
    <t>viajes de equipos</t>
  </si>
  <si>
    <t>5.11.</t>
  </si>
  <si>
    <t>Ejecucion de Mochetas exteriores</t>
  </si>
  <si>
    <t>5.12.</t>
  </si>
  <si>
    <t>Armado y desarmado de bandejas de proteccion</t>
  </si>
  <si>
    <t>ITEM</t>
  </si>
  <si>
    <t>DENOMINACION</t>
  </si>
  <si>
    <t>PRECIO UNIT SIN IVA</t>
  </si>
  <si>
    <t>PRECIO PARCIAL SIN IVA</t>
  </si>
  <si>
    <t>1</t>
  </si>
  <si>
    <t>COSTO - COSTO</t>
  </si>
  <si>
    <t>MATERIALES</t>
  </si>
  <si>
    <t>GL</t>
  </si>
  <si>
    <t>2</t>
  </si>
  <si>
    <t>MANO DE OBRA</t>
  </si>
  <si>
    <t>3</t>
  </si>
  <si>
    <t>GASTOS GENERALES DIRECTOS</t>
  </si>
  <si>
    <t xml:space="preserve">Sueldos / Honorarios de Dirección de Albañilería </t>
  </si>
  <si>
    <t xml:space="preserve">Mes </t>
  </si>
  <si>
    <t>Sueldos / Honorarios de Dirección de Obra de Cielorrasos</t>
  </si>
  <si>
    <t>Sueldos / Honorarios de Dirección de Obra de Pintura</t>
  </si>
  <si>
    <t>Sueldos / Honorarios de Dirección de Obra de Pintura en Altura</t>
  </si>
  <si>
    <t>Viáticos de Dirección de Obra</t>
  </si>
  <si>
    <t xml:space="preserve">Dia </t>
  </si>
  <si>
    <t>Alojamiento para Dirección de Obra</t>
  </si>
  <si>
    <t>Combustible para movilidad de Dirección de Obra</t>
  </si>
  <si>
    <t>Km</t>
  </si>
  <si>
    <t>Mantenimiento vehicular de Dirección de Obra</t>
  </si>
  <si>
    <t xml:space="preserve">Km </t>
  </si>
  <si>
    <t>Pasajes para Dirección de Obra</t>
  </si>
  <si>
    <t>U</t>
  </si>
  <si>
    <t>Gastos varios de movilidad -Estacionamiento, peajes, etc-</t>
  </si>
  <si>
    <t>Librería</t>
  </si>
  <si>
    <t>Seguros para Dirección de Obra</t>
  </si>
  <si>
    <t>Indumentaria y EPP para Dirección de Obra</t>
  </si>
  <si>
    <t>JUEGO</t>
  </si>
  <si>
    <t>Viáticos del personal operativo</t>
  </si>
  <si>
    <t>DIA</t>
  </si>
  <si>
    <t>Alojamiento para personal operativo</t>
  </si>
  <si>
    <t>Combustible para movilidad de personal operativo</t>
  </si>
  <si>
    <t>KM</t>
  </si>
  <si>
    <t>Mantenimiento vehicular para personal operativo</t>
  </si>
  <si>
    <t xml:space="preserve">KM </t>
  </si>
  <si>
    <t>Pasajes para personal operativo</t>
  </si>
  <si>
    <t>Seguros para el personal operativo</t>
  </si>
  <si>
    <t>MES</t>
  </si>
  <si>
    <t>Indumentaria y EPP para el personal operativo</t>
  </si>
  <si>
    <t>Programa de Higiene y Seguridad</t>
  </si>
  <si>
    <t>Sueldos / Honorarios de Resposable de Higiene y Seguridad</t>
  </si>
  <si>
    <t>Elementos de señalización</t>
  </si>
  <si>
    <t>Fletes de materiales RAPIBRICK INCLUIDO EN PRECIO MATERIAL</t>
  </si>
  <si>
    <t>Fletes de materiales LADRILLOS</t>
  </si>
  <si>
    <t>Fletes de materiales ARIDOS</t>
  </si>
  <si>
    <t xml:space="preserve">Flete de materiales </t>
  </si>
  <si>
    <t>ALQUILER MONTACARGAS</t>
  </si>
  <si>
    <t>Viáticos de chóferes</t>
  </si>
  <si>
    <t xml:space="preserve">DIA </t>
  </si>
  <si>
    <t>Alojamiento de chóferes</t>
  </si>
  <si>
    <t>Mantenimiento vehicular para personal de compras</t>
  </si>
  <si>
    <t>Pasajes para personal de compras</t>
  </si>
  <si>
    <t>Impuesto al cheque</t>
  </si>
  <si>
    <t>Sueldo / Honorarios de Pañolero</t>
  </si>
  <si>
    <t>Viáticos de Pañolero</t>
  </si>
  <si>
    <t>Alojamiento para Pañolero</t>
  </si>
  <si>
    <t>Gastos de movilidad de Pañolero</t>
  </si>
  <si>
    <t>Permisos de uso de calle y/o vereda</t>
  </si>
  <si>
    <t>Garantías para la Oferta</t>
  </si>
  <si>
    <t>Garantías para la Ejecución</t>
  </si>
  <si>
    <t>Fondo de Reparo</t>
  </si>
  <si>
    <t>Impresiones y Librería para presentación de ofertas</t>
  </si>
  <si>
    <t xml:space="preserve">Representacion Tecnica </t>
  </si>
  <si>
    <t>COSTO</t>
  </si>
  <si>
    <t>4</t>
  </si>
  <si>
    <t>GASTOS GENERALES INDIRECTOS</t>
  </si>
  <si>
    <t>%</t>
  </si>
  <si>
    <t>5</t>
  </si>
  <si>
    <t>SUB TOTAL 1</t>
  </si>
  <si>
    <t>6</t>
  </si>
  <si>
    <t>BENEFICIOS</t>
  </si>
  <si>
    <t>COSTO FINANCIERO</t>
  </si>
  <si>
    <t>7</t>
  </si>
  <si>
    <t>SUB TOTAL 2</t>
  </si>
  <si>
    <t>x M2</t>
  </si>
  <si>
    <t>8</t>
  </si>
  <si>
    <t>IMPUESTOS</t>
  </si>
  <si>
    <t xml:space="preserve">INGRESOS BRUTOS </t>
  </si>
  <si>
    <t>SUB TOTAL 3</t>
  </si>
  <si>
    <t>x M2 con iva</t>
  </si>
  <si>
    <t>IVA</t>
  </si>
  <si>
    <t>9</t>
  </si>
  <si>
    <t>PRECIO</t>
  </si>
  <si>
    <t>1.1</t>
  </si>
  <si>
    <t>5.</t>
  </si>
  <si>
    <t>SEMANA 1</t>
  </si>
  <si>
    <t>SEMANA 2</t>
  </si>
  <si>
    <t>SEMANA 3</t>
  </si>
  <si>
    <t>TOTALIDAD DE LOS TRABAJOS</t>
  </si>
  <si>
    <t>REVOQUE EXTERIOR EN ALTURA</t>
  </si>
  <si>
    <t>FORMA DE PAGO:</t>
  </si>
  <si>
    <r>
      <rPr>
        <b/>
        <sz val="8"/>
        <color rgb="FF000000"/>
        <rFont val="Arial"/>
        <family val="2"/>
      </rPr>
      <t>PLAZO DE OBRA:</t>
    </r>
    <r>
      <rPr>
        <sz val="8"/>
        <color rgb="FF000000"/>
        <rFont val="Arial"/>
        <family val="2"/>
      </rPr>
      <t xml:space="preserve"> 3 MESES</t>
    </r>
  </si>
  <si>
    <t>SE ESTABLECE UN ANTICIPO FINANCIERO DEL 30% AL INICIO DE OBRA.</t>
  </si>
  <si>
    <r>
      <rPr>
        <b/>
        <sz val="8"/>
        <color rgb="FF000000"/>
        <rFont val="Arial"/>
        <family val="2"/>
      </rPr>
      <t>FORMA DE ACTUALIZACION:</t>
    </r>
    <r>
      <rPr>
        <sz val="8"/>
        <color rgb="FF000000"/>
        <rFont val="Arial"/>
        <family val="2"/>
      </rPr>
      <t xml:space="preserve"> MEDIANTE INDICES CAC  - MES BASE SEPTIEMBRE 2025 </t>
    </r>
  </si>
  <si>
    <t>PRECIO TOTAL IVA NO INCLUIDO</t>
  </si>
  <si>
    <t>Ing. Slucky - ANEA INGENIEROS SA   CUIT 30714427152</t>
  </si>
  <si>
    <r>
      <t xml:space="preserve">EL SALDO RESTANTE SE ABONARÁ MEDIANTE </t>
    </r>
    <r>
      <rPr>
        <b/>
        <sz val="8"/>
        <color theme="1"/>
        <rFont val="Arial"/>
        <family val="2"/>
      </rPr>
      <t>CERTIFICACIONES MENSUALES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</si>
</sst>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&quot;$&quot;\ #,##0.00"/>
    <numFmt numFmtId="166" formatCode="dd/mm/yyyy;@"/>
    <numFmt numFmtId="167" formatCode="_-* #,##0.00\ &quot;Pts&quot;_-;\-* #,##0.00\ &quot;Pts&quot;_-;_-* &quot;-&quot;??\ &quot;Pts&quot;_-;_-@_-"/>
    <numFmt numFmtId="168" formatCode="_ [$€-2]\ * #,##0.00_ ;_ [$€-2]\ * \-#,##0.00_ ;_ [$€-2]\ * &quot;-&quot;??_ "/>
    <numFmt numFmtId="169" formatCode="#.00"/>
    <numFmt numFmtId="170" formatCode="&quot;$&quot;#.00"/>
    <numFmt numFmtId="171" formatCode="\$#,##0\ ;\(\$#,##0\)"/>
    <numFmt numFmtId="172" formatCode="0.0"/>
    <numFmt numFmtId="173" formatCode="_ * #,##0.00_ ;_ * \-#,##0.00_ ;_ * &quot;-&quot;??_ ;_ @_ "/>
    <numFmt numFmtId="174" formatCode="0.000"/>
    <numFmt numFmtId="175" formatCode="[$$-2C0A]\ #,##0.00"/>
  </numFmts>
  <fonts count="28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indexed="48"/>
      <name val="Times New Roman"/>
      <family val="1"/>
    </font>
    <font>
      <sz val="9"/>
      <color indexed="4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</font>
    <font>
      <b/>
      <sz val="1"/>
      <color indexed="8"/>
      <name val="Courier"/>
    </font>
    <font>
      <i/>
      <sz val="1"/>
      <color indexed="8"/>
      <name val="Courie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theme="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color theme="0"/>
      <name val="Arial"/>
      <family val="2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>
      <protection locked="0"/>
    </xf>
    <xf numFmtId="0" fontId="12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168" fontId="6" fillId="0" borderId="0" applyFont="0" applyFill="0" applyBorder="0" applyAlignment="0" applyProtection="0"/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11" fillId="0" borderId="0">
      <protection locked="0"/>
    </xf>
    <xf numFmtId="0" fontId="14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11" fillId="0" borderId="0">
      <protection locked="0"/>
    </xf>
    <xf numFmtId="0" fontId="14" fillId="0" borderId="0">
      <protection locked="0"/>
    </xf>
    <xf numFmtId="0" fontId="6" fillId="0" borderId="0" applyFont="0" applyFill="0" applyBorder="0" applyAlignment="0" applyProtection="0"/>
    <xf numFmtId="169" fontId="9" fillId="0" borderId="0">
      <protection locked="0"/>
    </xf>
    <xf numFmtId="169" fontId="12" fillId="0" borderId="0">
      <protection locked="0"/>
    </xf>
    <xf numFmtId="4" fontId="9" fillId="0" borderId="0">
      <protection locked="0"/>
    </xf>
    <xf numFmtId="4" fontId="12" fillId="0" borderId="0">
      <protection locked="0"/>
    </xf>
    <xf numFmtId="173" fontId="1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70" fontId="9" fillId="0" borderId="0">
      <protection locked="0"/>
    </xf>
    <xf numFmtId="170" fontId="12" fillId="0" borderId="0">
      <protection locked="0"/>
    </xf>
    <xf numFmtId="171" fontId="6" fillId="0" borderId="0" applyFont="0" applyFill="0" applyBorder="0" applyAlignment="0" applyProtection="0"/>
    <xf numFmtId="0" fontId="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19" fillId="0" borderId="0"/>
    <xf numFmtId="173" fontId="6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5" fillId="0" borderId="0" xfId="43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10" fontId="15" fillId="0" borderId="0" xfId="43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0" fontId="18" fillId="0" borderId="0" xfId="4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15" fillId="0" borderId="0" xfId="43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9" fontId="0" fillId="0" borderId="0" xfId="43" applyFont="1" applyAlignment="1">
      <alignment vertical="center"/>
    </xf>
    <xf numFmtId="2" fontId="4" fillId="0" borderId="1" xfId="0" applyNumberFormat="1" applyFont="1" applyBorder="1" applyAlignment="1">
      <alignment horizontal="center" vertical="center" readingOrder="1"/>
    </xf>
    <xf numFmtId="2" fontId="4" fillId="0" borderId="1" xfId="0" applyNumberFormat="1" applyFont="1" applyBorder="1" applyAlignment="1" applyProtection="1">
      <alignment horizontal="center" vertical="center" readingOrder="1"/>
      <protection locked="0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72" fontId="4" fillId="3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 wrapText="1"/>
    </xf>
    <xf numFmtId="0" fontId="18" fillId="5" borderId="1" xfId="0" applyFont="1" applyFill="1" applyBorder="1" applyAlignment="1">
      <alignment vertical="center"/>
    </xf>
    <xf numFmtId="165" fontId="18" fillId="5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72" fontId="4" fillId="0" borderId="1" xfId="0" applyNumberFormat="1" applyFont="1" applyBorder="1" applyAlignment="1">
      <alignment horizontal="center" vertical="center" wrapText="1"/>
    </xf>
    <xf numFmtId="0" fontId="18" fillId="6" borderId="1" xfId="0" applyFont="1" applyFill="1" applyBorder="1" applyAlignment="1">
      <alignment vertical="center"/>
    </xf>
    <xf numFmtId="165" fontId="18" fillId="6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/>
    <xf numFmtId="14" fontId="0" fillId="0" borderId="0" xfId="0" applyNumberFormat="1" applyAlignment="1">
      <alignment vertical="center"/>
    </xf>
    <xf numFmtId="0" fontId="4" fillId="6" borderId="0" xfId="0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44" fontId="0" fillId="0" borderId="0" xfId="54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2"/>
    </xf>
    <xf numFmtId="0" fontId="15" fillId="0" borderId="0" xfId="0" applyFont="1" applyAlignment="1">
      <alignment horizontal="center" vertical="center"/>
    </xf>
    <xf numFmtId="2" fontId="4" fillId="7" borderId="0" xfId="0" applyNumberFormat="1" applyFont="1" applyFill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2" fontId="4" fillId="7" borderId="0" xfId="0" applyNumberFormat="1" applyFont="1" applyFill="1" applyAlignment="1">
      <alignment horizontal="center" vertical="center" readingOrder="1"/>
    </xf>
    <xf numFmtId="165" fontId="4" fillId="7" borderId="0" xfId="0" applyNumberFormat="1" applyFont="1" applyFill="1" applyAlignment="1">
      <alignment horizontal="center" vertical="center"/>
    </xf>
    <xf numFmtId="10" fontId="4" fillId="7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2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0" fontId="0" fillId="0" borderId="0" xfId="43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44" fontId="4" fillId="0" borderId="0" xfId="54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4" fillId="7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44" fontId="0" fillId="0" borderId="0" xfId="54" applyFont="1" applyFill="1" applyBorder="1" applyAlignment="1">
      <alignment vertical="center"/>
    </xf>
    <xf numFmtId="175" fontId="0" fillId="0" borderId="0" xfId="0" applyNumberFormat="1" applyAlignment="1">
      <alignment horizontal="center" vertical="center" wrapText="1"/>
    </xf>
    <xf numFmtId="175" fontId="0" fillId="0" borderId="0" xfId="0" applyNumberFormat="1" applyAlignment="1">
      <alignment horizontal="center" vertical="center"/>
    </xf>
    <xf numFmtId="175" fontId="18" fillId="0" borderId="0" xfId="0" applyNumberFormat="1" applyFont="1" applyAlignment="1">
      <alignment horizontal="center" vertical="center"/>
    </xf>
    <xf numFmtId="175" fontId="5" fillId="0" borderId="0" xfId="0" applyNumberFormat="1" applyFont="1" applyAlignment="1">
      <alignment horizontal="center" vertical="center" wrapText="1"/>
    </xf>
    <xf numFmtId="175" fontId="4" fillId="0" borderId="0" xfId="0" applyNumberFormat="1" applyFont="1" applyAlignment="1">
      <alignment horizontal="center" vertical="center"/>
    </xf>
    <xf numFmtId="175" fontId="4" fillId="9" borderId="0" xfId="0" applyNumberFormat="1" applyFont="1" applyFill="1" applyAlignment="1">
      <alignment horizontal="center" vertical="center"/>
    </xf>
    <xf numFmtId="175" fontId="0" fillId="0" borderId="0" xfId="54" applyNumberFormat="1" applyFont="1" applyAlignment="1">
      <alignment horizontal="center" vertical="center"/>
    </xf>
    <xf numFmtId="175" fontId="4" fillId="7" borderId="0" xfId="0" applyNumberFormat="1" applyFont="1" applyFill="1" applyAlignment="1" applyProtection="1">
      <alignment horizontal="center" vertical="center"/>
      <protection locked="0"/>
    </xf>
    <xf numFmtId="175" fontId="4" fillId="7" borderId="0" xfId="0" applyNumberFormat="1" applyFont="1" applyFill="1" applyAlignment="1">
      <alignment horizontal="center" vertical="center"/>
    </xf>
    <xf numFmtId="175" fontId="4" fillId="0" borderId="0" xfId="0" applyNumberFormat="1" applyFont="1" applyAlignment="1">
      <alignment vertical="center"/>
    </xf>
    <xf numFmtId="175" fontId="0" fillId="0" borderId="0" xfId="0" applyNumberFormat="1" applyAlignment="1">
      <alignment vertical="center"/>
    </xf>
    <xf numFmtId="174" fontId="18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174" fontId="15" fillId="0" borderId="0" xfId="0" applyNumberFormat="1" applyFont="1" applyAlignment="1">
      <alignment horizontal="center" vertical="center"/>
    </xf>
    <xf numFmtId="174" fontId="4" fillId="7" borderId="0" xfId="0" applyNumberFormat="1" applyFont="1" applyFill="1" applyAlignment="1" applyProtection="1">
      <alignment horizontal="center" vertical="center" readingOrder="1"/>
      <protection locked="0"/>
    </xf>
    <xf numFmtId="174" fontId="0" fillId="0" borderId="0" xfId="54" applyNumberFormat="1" applyFont="1" applyFill="1" applyBorder="1" applyAlignment="1">
      <alignment horizontal="center" vertical="center"/>
    </xf>
    <xf numFmtId="175" fontId="0" fillId="0" borderId="0" xfId="0" applyNumberFormat="1"/>
    <xf numFmtId="0" fontId="22" fillId="0" borderId="2" xfId="0" applyFont="1" applyBorder="1" applyAlignment="1">
      <alignment horizontal="center" vertical="center"/>
    </xf>
    <xf numFmtId="174" fontId="22" fillId="0" borderId="2" xfId="0" applyNumberFormat="1" applyFont="1" applyBorder="1" applyAlignment="1">
      <alignment horizontal="center" vertical="center"/>
    </xf>
    <xf numFmtId="175" fontId="22" fillId="0" borderId="2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75" fontId="4" fillId="0" borderId="2" xfId="0" applyNumberFormat="1" applyFont="1" applyBorder="1" applyAlignment="1" applyProtection="1">
      <alignment horizontal="center" vertical="center"/>
      <protection locked="0"/>
    </xf>
    <xf numFmtId="175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" fontId="4" fillId="8" borderId="0" xfId="0" applyNumberFormat="1" applyFont="1" applyFill="1" applyAlignment="1">
      <alignment vertical="center"/>
    </xf>
    <xf numFmtId="174" fontId="5" fillId="0" borderId="1" xfId="0" applyNumberFormat="1" applyFont="1" applyBorder="1" applyAlignment="1">
      <alignment horizontal="center" vertical="center"/>
    </xf>
    <xf numFmtId="175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174" fontId="0" fillId="0" borderId="1" xfId="0" applyNumberFormat="1" applyBorder="1" applyAlignment="1">
      <alignment horizontal="center" vertical="center"/>
    </xf>
    <xf numFmtId="175" fontId="0" fillId="0" borderId="1" xfId="54" applyNumberFormat="1" applyFont="1" applyBorder="1" applyAlignment="1">
      <alignment horizontal="center" vertical="center"/>
    </xf>
    <xf numFmtId="175" fontId="0" fillId="0" borderId="1" xfId="0" applyNumberForma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174" fontId="23" fillId="0" borderId="2" xfId="0" applyNumberFormat="1" applyFont="1" applyBorder="1" applyAlignment="1">
      <alignment horizontal="center" vertical="center"/>
    </xf>
    <xf numFmtId="175" fontId="23" fillId="0" borderId="2" xfId="0" applyNumberFormat="1" applyFont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 wrapText="1"/>
    </xf>
    <xf numFmtId="10" fontId="23" fillId="0" borderId="2" xfId="43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4" fillId="0" borderId="0" xfId="0" applyFont="1"/>
    <xf numFmtId="175" fontId="20" fillId="0" borderId="2" xfId="0" applyNumberFormat="1" applyFont="1" applyBorder="1" applyAlignment="1" applyProtection="1">
      <alignment horizontal="center" vertical="center"/>
      <protection locked="0"/>
    </xf>
    <xf numFmtId="9" fontId="20" fillId="0" borderId="2" xfId="43" applyFont="1" applyBorder="1" applyAlignment="1" applyProtection="1">
      <alignment horizontal="center" vertical="center"/>
      <protection locked="0"/>
    </xf>
    <xf numFmtId="175" fontId="25" fillId="0" borderId="1" xfId="0" applyNumberFormat="1" applyFont="1" applyBorder="1" applyAlignment="1">
      <alignment horizontal="center" vertical="center" wrapText="1"/>
    </xf>
    <xf numFmtId="175" fontId="25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2" fontId="20" fillId="0" borderId="2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5" fontId="25" fillId="0" borderId="0" xfId="0" applyNumberFormat="1" applyFont="1" applyAlignment="1">
      <alignment horizontal="center" vertical="center" wrapText="1"/>
    </xf>
    <xf numFmtId="175" fontId="25" fillId="0" borderId="0" xfId="0" applyNumberFormat="1" applyFont="1" applyAlignment="1">
      <alignment horizontal="center" vertical="center"/>
    </xf>
    <xf numFmtId="44" fontId="4" fillId="0" borderId="0" xfId="54" applyFont="1" applyAlignment="1">
      <alignment horizontal="center" vertical="center"/>
    </xf>
  </cellXfs>
  <cellStyles count="57">
    <cellStyle name="Cabecera 1" xfId="1" xr:uid="{00000000-0005-0000-0000-000000000000}"/>
    <cellStyle name="Cabecera 2" xfId="2" xr:uid="{00000000-0005-0000-0000-000001000000}"/>
    <cellStyle name="Dia" xfId="3" xr:uid="{00000000-0005-0000-0000-000003000000}"/>
    <cellStyle name="Dia 2" xfId="4" xr:uid="{00000000-0005-0000-0000-000004000000}"/>
    <cellStyle name="Encabez1" xfId="5" xr:uid="{00000000-0005-0000-0000-000005000000}"/>
    <cellStyle name="Encabez1 2" xfId="6" xr:uid="{00000000-0005-0000-0000-000006000000}"/>
    <cellStyle name="Encabez2" xfId="7" xr:uid="{00000000-0005-0000-0000-000007000000}"/>
    <cellStyle name="Encabez2 2" xfId="8" xr:uid="{00000000-0005-0000-0000-000008000000}"/>
    <cellStyle name="Euro" xfId="9" xr:uid="{00000000-0005-0000-0000-000009000000}"/>
    <cellStyle name="F2" xfId="10" xr:uid="{00000000-0005-0000-0000-00000A000000}"/>
    <cellStyle name="F2 2" xfId="11" xr:uid="{00000000-0005-0000-0000-00000B000000}"/>
    <cellStyle name="F3" xfId="12" xr:uid="{00000000-0005-0000-0000-00000C000000}"/>
    <cellStyle name="F3 2" xfId="13" xr:uid="{00000000-0005-0000-0000-00000D000000}"/>
    <cellStyle name="F4" xfId="14" xr:uid="{00000000-0005-0000-0000-00000E000000}"/>
    <cellStyle name="F4 2" xfId="15" xr:uid="{00000000-0005-0000-0000-00000F000000}"/>
    <cellStyle name="F5" xfId="16" xr:uid="{00000000-0005-0000-0000-000010000000}"/>
    <cellStyle name="F5 2" xfId="17" xr:uid="{00000000-0005-0000-0000-000011000000}"/>
    <cellStyle name="F6" xfId="18" xr:uid="{00000000-0005-0000-0000-000012000000}"/>
    <cellStyle name="F6 2" xfId="19" xr:uid="{00000000-0005-0000-0000-000013000000}"/>
    <cellStyle name="F7" xfId="20" xr:uid="{00000000-0005-0000-0000-000014000000}"/>
    <cellStyle name="F7 2" xfId="21" xr:uid="{00000000-0005-0000-0000-000015000000}"/>
    <cellStyle name="F8" xfId="22" xr:uid="{00000000-0005-0000-0000-000016000000}"/>
    <cellStyle name="F8 2" xfId="23" xr:uid="{00000000-0005-0000-0000-000017000000}"/>
    <cellStyle name="Fecha" xfId="24" xr:uid="{00000000-0005-0000-0000-000018000000}"/>
    <cellStyle name="Fijo" xfId="25" xr:uid="{00000000-0005-0000-0000-000019000000}"/>
    <cellStyle name="Fijo 2" xfId="26" xr:uid="{00000000-0005-0000-0000-00001A000000}"/>
    <cellStyle name="Financiero" xfId="27" xr:uid="{00000000-0005-0000-0000-00001B000000}"/>
    <cellStyle name="Financiero 2" xfId="28" xr:uid="{00000000-0005-0000-0000-00001C000000}"/>
    <cellStyle name="Millares 2" xfId="29" xr:uid="{00000000-0005-0000-0000-00001E000000}"/>
    <cellStyle name="Millares 3" xfId="53" xr:uid="{CC3CE047-CBC1-4479-BEB6-BE7888DF997F}"/>
    <cellStyle name="Moneda" xfId="54" builtinId="4"/>
    <cellStyle name="Moneda 2" xfId="30" xr:uid="{00000000-0005-0000-0000-000020000000}"/>
    <cellStyle name="Moneda 3" xfId="31" xr:uid="{00000000-0005-0000-0000-000021000000}"/>
    <cellStyle name="Moneda 3 2" xfId="32" xr:uid="{00000000-0005-0000-0000-000022000000}"/>
    <cellStyle name="Moneda 3 3" xfId="33" xr:uid="{00000000-0005-0000-0000-000023000000}"/>
    <cellStyle name="Monetario" xfId="34" xr:uid="{00000000-0005-0000-0000-000024000000}"/>
    <cellStyle name="Monetario 2" xfId="35" xr:uid="{00000000-0005-0000-0000-000025000000}"/>
    <cellStyle name="Monetario0" xfId="36" xr:uid="{00000000-0005-0000-0000-000026000000}"/>
    <cellStyle name="Normal" xfId="0" builtinId="0"/>
    <cellStyle name="Normal 2" xfId="37" xr:uid="{00000000-0005-0000-0000-000028000000}"/>
    <cellStyle name="Normal 3" xfId="38" xr:uid="{00000000-0005-0000-0000-000029000000}"/>
    <cellStyle name="Normal 4" xfId="39" xr:uid="{00000000-0005-0000-0000-00002A000000}"/>
    <cellStyle name="Normal 4 2" xfId="40" xr:uid="{00000000-0005-0000-0000-00002B000000}"/>
    <cellStyle name="Normal 4 3" xfId="41" xr:uid="{00000000-0005-0000-0000-00002C000000}"/>
    <cellStyle name="Normal 5" xfId="42" xr:uid="{00000000-0005-0000-0000-00002D000000}"/>
    <cellStyle name="Normal 6" xfId="52" xr:uid="{15EDC0A1-DE4D-4591-BB9F-08F02E71414F}"/>
    <cellStyle name="Normal 7" xfId="55" xr:uid="{34A4FC7A-399B-4658-8FFD-3BCCDBB6F047}"/>
    <cellStyle name="Porcentaje" xfId="43" builtinId="5"/>
    <cellStyle name="Porcentaje 2" xfId="44" xr:uid="{00000000-0005-0000-0000-000030000000}"/>
    <cellStyle name="Porcentaje 3" xfId="45" xr:uid="{00000000-0005-0000-0000-000031000000}"/>
    <cellStyle name="Porcentaje 3 2" xfId="46" xr:uid="{00000000-0005-0000-0000-000032000000}"/>
    <cellStyle name="Porcentaje 3 3" xfId="47" xr:uid="{00000000-0005-0000-0000-000033000000}"/>
    <cellStyle name="Porcentaje 4" xfId="56" xr:uid="{D7CBD608-C4DC-4BEF-9871-F5B264F2D81D}"/>
    <cellStyle name="Porcentual 2" xfId="48" xr:uid="{00000000-0005-0000-0000-000034000000}"/>
    <cellStyle name="Porcentual 3" xfId="49" xr:uid="{00000000-0005-0000-0000-000035000000}"/>
    <cellStyle name="Punto" xfId="50" xr:uid="{00000000-0005-0000-0000-000036000000}"/>
    <cellStyle name="Punto0" xfId="51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2</xdr:row>
      <xdr:rowOff>218706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224BC-52A0-49BF-AADE-DB5A6AED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67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4042EAF-CDBD-4488-9335-2841285C0761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76200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F6E1152-302A-4ED9-A255-22E30F99DF00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2</xdr:row>
      <xdr:rowOff>85649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3DA2E8-5F7D-46A8-AB4B-6F6647E82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76200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711FECC9-61DD-4D95-A66B-3A2847E3B0FB}"/>
            </a:ext>
            <a:ext uri="{147F2762-F138-4A5C-976F-8EAC2B608ADB}">
              <a16:predDERef xmlns:a16="http://schemas.microsoft.com/office/drawing/2014/main" pred="{4A3DA2E8-5F7D-46A8-AB4B-6F6647E82546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76200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717C53A-D57C-4A54-B37E-1694E8CF1587}"/>
            </a:ext>
            <a:ext uri="{147F2762-F138-4A5C-976F-8EAC2B608ADB}">
              <a16:predDERef xmlns:a16="http://schemas.microsoft.com/office/drawing/2014/main" pred="{711FECC9-61DD-4D95-A66B-3A2847E3B0FB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76200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34650D66-A551-4CB9-B7BC-CB01A2F2D1FF}"/>
            </a:ext>
            <a:ext uri="{147F2762-F138-4A5C-976F-8EAC2B608ADB}">
              <a16:predDERef xmlns:a16="http://schemas.microsoft.com/office/drawing/2014/main" pred="{D717C53A-D57C-4A54-B37E-1694E8CF1587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5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76200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48A490DD-E571-4054-BDCC-A44B019D5EFA}"/>
            </a:ext>
            <a:ext uri="{147F2762-F138-4A5C-976F-8EAC2B608ADB}">
              <a16:predDERef xmlns:a16="http://schemas.microsoft.com/office/drawing/2014/main" pred="{34650D66-A551-4CB9-B7BC-CB01A2F2D1FF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12DFF7-B885-421B-8E8A-CB2AD490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469694-ACBB-4E2B-936B-31A034AF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396033-D3F2-4355-B8A8-17EE1B15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28D680-CF76-4FC7-9C23-C94E2006D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49A286-2A9C-4ED0-A11D-8C538AAB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D8E705-1992-49E0-A51E-994D39D9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642792E-12AA-4D50-989A-7347574D2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720B1C-52EA-439A-9F99-0C971D2A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A51CC59-BD91-4A75-BDEB-EDE09AC9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16C0A1A-92D9-45A7-8B6C-D0B174B0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98A51D7-244C-4C52-9114-FD11433DB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5A70EF6-788B-4821-AAB3-B6C8C2BC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077832F-F472-46EC-A0B8-4B6BA0BB3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4322E67-E859-4AE6-8546-33B01CCC4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177C5C2-6B9D-4570-AC13-3E7914CB6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76182F9-569A-4047-90A5-ABE6BC61C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C518076-674E-4A16-B6B5-FD3EAD1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C1DF928-0E25-41B2-91FE-F55643E3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83936A5-4FB3-4426-BE02-5B0E18E3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D7399B6-A4EC-4A41-B855-D0B0171D2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C4E331C-B53E-4ED0-853E-527C53754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8EFA08C-C7C3-42D7-A69F-50CB0966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16C0427-D352-4FF7-B688-7804C308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3BA98CF-B7D8-475C-96DC-737B16629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17EC319-9F25-42C4-9867-6A847BE2F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50F959E-03CF-431C-973F-75DEB2767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8CA673C-1CAA-4734-A358-BE48FE8F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1F45249-240E-4E2E-BA2E-C24208FD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296AC92-F115-4265-B027-842756546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1E981EC-FAC6-4757-8254-140DA51D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1AA2775-678D-4DF1-B72E-F8CA1CDA5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BFDA2F-28E4-476E-A447-6DF8849E0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15E61AD-5042-483B-9B51-F6C117845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8A18242D-7BE8-4DC1-BB50-98CD0904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0DD2A06-1107-4D62-95AA-767CCAFB2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81B080AB-9BA6-48E8-99FA-B5D292F5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DEBA596-F371-4FF2-9543-F2A23C5B1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835B2E9-7138-44E3-9458-1F5814081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942E41B-2E73-43F5-8E41-A5046684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15821244-906F-4FF4-8F2C-D07E123D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E750D93-86CA-426A-86B7-77B7C424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96BBA92F-10F6-4046-B8E4-10EF09CFA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AEF24B18-3C8A-4D3D-823E-BECAA1DC3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EB4801D8-966E-45BD-A8BE-32EAE206A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28D79B2E-0001-4C86-8204-2F7BC0C4F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101F1055-A344-4349-A3AD-9CD15523F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ACDF3BC-5008-438F-A3AD-6A9424302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AC2414A9-E4AE-47AE-8CD7-F38D2F12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52EFAA1B-734D-4903-B0DD-A967A2899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D8916229-0075-4ADD-B775-ECD413A3C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32CE7AC-6243-44A1-9998-83AB96C8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1BD12400-4138-4595-BAF3-F060E1182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E201E930-9CAD-4901-A806-AD5FEBC0A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143576F9-02FC-4CC5-9DF6-39FB77FD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AAD1441C-EBB4-4063-ADDA-DC61F806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BFC0D9CD-6955-4009-8368-759C1DA2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D213BF88-638F-4B1A-BF7E-7E07A28E0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4DA1AC6E-68EC-4643-80AE-E75EC5422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7AF492A6-1D13-4091-8250-F2448B8C5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B95F6E1E-5899-45A9-881E-06CF0C96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828D03A3-BF28-443B-820E-4DD1251C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A2917C47-5898-454C-8B77-4221E3E31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F2CE9A6A-18F5-48B6-B407-C140EF574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52EB4378-C509-4639-8D11-18B4EA059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DC3B050E-7A60-4658-B8BE-6AD0DE0DC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9D8632BC-EC47-45BB-AFC5-E8423A041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613BFFD5-34F4-4073-90BE-6060436E8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15C9BEE5-37C2-49D0-904A-493DAB52A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26FCD5D7-B3A3-4C87-BA91-63F19D93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906DC5CA-5C01-47B3-B41D-CE475DB6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C42D40DC-DE28-4B94-B945-F4039004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4917DA3C-8CC5-4552-BF3E-FECFA1A3C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8CE1D7AA-3A19-43AE-BBF3-DE5C548FF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379A366-D8A5-40AB-875D-7A43A0C57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75EC427F-5674-4ED4-A76D-9459E1786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64E4D3D5-9EDC-4549-AEAE-227BA467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AA019489-E23D-4C41-80C4-24F6A06D0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58500F86-36BD-48E8-80D7-5A1FE5E53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268A210C-8C76-4D7F-99CD-5CD6BF1B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99F96A77-5D88-4FBB-B789-F3830777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1AB569DE-3580-4FA8-9C5A-78BB3526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2AB705F8-196D-4A0E-8FBD-85E09C1BF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45CC0E45-4993-444A-B2D4-78C80B563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F1078B44-237A-45A6-9345-2ACC5912C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C1F4F777-C99C-4AF0-9FDC-5FA6FD6D1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5C9E119E-0B27-4BBC-A1BD-A640253B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D6B501B6-F195-49BE-BC85-F9B984F2D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578869EC-D063-48B2-A424-0360851D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596B9665-836B-404F-9C1B-20BAF12FE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F8ECEE67-D18D-4CEB-ADFC-4A1E2455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97CE42C6-78AE-4DCB-A56C-614AAE026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D73E63A4-7534-429F-B31B-3F4098A1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734FCDBC-16F8-4D66-A5F2-FEE6B339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838115E0-FE6D-47A0-ADF2-B0CCAA622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E2D543DB-E0F1-47F2-805B-AB993C99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39628B8D-AD5B-4FB1-BB9F-8D43B3D0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EC100EE9-D3D8-4213-A016-FFC5701DF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3018E3EA-797D-4E1A-9790-A677AFA0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467FA085-AEC8-4E6D-A6F7-34C55D02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CA7C7248-65E3-43CB-80F6-FFFDA9FA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5C13FEF2-1DDF-4536-901B-67C56DA3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196295FE-035E-4D4F-A899-B228B024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EC4FFCFF-854D-4D14-A116-A759891BD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1D3E716E-76F2-455D-A8AA-8832E9EB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4C2AC836-A4A3-42F9-8082-B42BFFE45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123749</xdr:rowOff>
    </xdr:to>
    <xdr:pic>
      <xdr:nvPicPr>
        <xdr:cNvPr id="12" name="Imagen 2">
          <a:extLst>
            <a:ext uri="{FF2B5EF4-FFF2-40B4-BE49-F238E27FC236}">
              <a16:creationId xmlns:a16="http://schemas.microsoft.com/office/drawing/2014/main" id="{FD4C21FA-0AF4-4132-B8A6-6444C3C39FAB}"/>
            </a:ext>
            <a:ext uri="{147F2762-F138-4A5C-976F-8EAC2B608ADB}">
              <a16:predDERef xmlns:a16="http://schemas.microsoft.com/office/drawing/2014/main" pred="{D77F6DC8-F909-493C-9CB5-F4F1C601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2</xdr:row>
      <xdr:rowOff>218706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339669-DDF6-42FE-AEE5-3D18684F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6759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sites/PINIOSoucionesTecnicas/Documentos%20compartidos/COTIZACIONES/PINO%20SOLUCIONES%20TECNICAS%20(VERTICALES)/COT_%20REVOQUE%20Y%20PINTURA%20ARQ%20VELIZ%20MO/Analisis%20de%20precios/REV%20EXT%20WEBER%20+%20PINTURA%20MO.xlsx?C1E1337D" TargetMode="External"/><Relationship Id="rId1" Type="http://schemas.openxmlformats.org/officeDocument/2006/relationships/externalLinkPath" Target="file:///\\C1E1337D\REV%20EXT%20WEBER%20+%20PINTURA%20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álisis de precios"/>
      <sheetName val="Cascada"/>
      <sheetName val="PRECIO 2"/>
      <sheetName val="Programa de trabajo"/>
      <sheetName val="Insumos"/>
      <sheetName val="COMPUTO"/>
    </sheetNames>
    <sheetDataSet>
      <sheetData sheetId="0" refreshError="1"/>
      <sheetData sheetId="1" refreshError="1">
        <row r="89">
          <cell r="H89">
            <v>2.7053654816872812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topLeftCell="A22" zoomScaleNormal="100" workbookViewId="0">
      <selection activeCell="A10" sqref="A10:XFD39"/>
    </sheetView>
  </sheetViews>
  <sheetFormatPr baseColWidth="10" defaultColWidth="12" defaultRowHeight="18" customHeight="1" x14ac:dyDescent="0.2"/>
  <cols>
    <col min="1" max="2" width="12.85546875" style="15" customWidth="1"/>
    <col min="3" max="3" width="73.85546875" style="15" customWidth="1"/>
    <col min="4" max="4" width="12.85546875" style="16" customWidth="1"/>
    <col min="5" max="5" width="12.85546875" style="65" customWidth="1"/>
    <col min="6" max="6" width="12.85546875" style="98" customWidth="1"/>
    <col min="7" max="7" width="15.140625" style="98" bestFit="1" customWidth="1"/>
    <col min="8" max="8" width="15.7109375" style="89" customWidth="1"/>
    <col min="9" max="9" width="19" style="89" customWidth="1"/>
    <col min="10" max="10" width="14.140625" style="5" customWidth="1"/>
    <col min="11" max="12" width="12.85546875" style="15" customWidth="1"/>
    <col min="13" max="13" width="5" style="15" customWidth="1"/>
    <col min="14" max="15" width="12.85546875" style="15" customWidth="1"/>
    <col min="16" max="16" width="19.28515625" style="15" customWidth="1"/>
    <col min="17" max="19" width="12" style="15"/>
    <col min="20" max="20" width="13" style="15" bestFit="1" customWidth="1"/>
    <col min="21" max="21" width="17.42578125" style="15" customWidth="1"/>
    <col min="22" max="22" width="15.28515625" style="15" bestFit="1" customWidth="1"/>
    <col min="23" max="16384" width="12" style="15"/>
  </cols>
  <sheetData>
    <row r="1" spans="1:20" ht="18" customHeight="1" x14ac:dyDescent="0.2">
      <c r="A1" s="18"/>
      <c r="C1" s="16"/>
      <c r="D1" s="1"/>
      <c r="F1" s="88"/>
      <c r="G1" s="88"/>
      <c r="K1" s="19"/>
      <c r="L1" s="19"/>
      <c r="M1" s="16"/>
      <c r="N1" s="16"/>
      <c r="O1" s="16"/>
      <c r="P1" s="16"/>
    </row>
    <row r="2" spans="1:20" ht="18" customHeight="1" x14ac:dyDescent="0.2">
      <c r="A2" s="20"/>
      <c r="C2" s="16"/>
      <c r="D2" s="1"/>
      <c r="F2" s="88"/>
      <c r="G2" s="88"/>
      <c r="K2" s="19"/>
      <c r="L2" s="19"/>
      <c r="M2" s="16"/>
      <c r="N2" s="16"/>
      <c r="O2" s="16"/>
      <c r="P2" s="16"/>
    </row>
    <row r="3" spans="1:20" ht="18" customHeight="1" x14ac:dyDescent="0.2">
      <c r="F3" s="89"/>
      <c r="G3" s="89"/>
      <c r="H3" s="88"/>
      <c r="K3" s="19"/>
      <c r="L3" s="19"/>
      <c r="M3" s="16"/>
      <c r="N3" s="16"/>
      <c r="O3" s="16"/>
      <c r="P3" s="16"/>
    </row>
    <row r="4" spans="1:20" ht="18" customHeight="1" x14ac:dyDescent="0.2">
      <c r="A4" s="15" t="s">
        <v>0</v>
      </c>
      <c r="B4" s="15" t="s">
        <v>150</v>
      </c>
      <c r="F4" s="89"/>
      <c r="G4" s="89"/>
      <c r="H4" s="88"/>
      <c r="K4" s="19"/>
      <c r="L4" s="19"/>
      <c r="M4" s="16"/>
      <c r="N4" s="16"/>
      <c r="O4" s="16"/>
      <c r="P4" s="16"/>
    </row>
    <row r="5" spans="1:20" ht="18" customHeight="1" x14ac:dyDescent="0.2">
      <c r="A5" s="15" t="s">
        <v>1</v>
      </c>
      <c r="B5" s="15" t="s">
        <v>2</v>
      </c>
      <c r="F5" s="89"/>
      <c r="G5" s="89"/>
      <c r="H5" s="88"/>
      <c r="K5" s="19"/>
      <c r="L5" s="19"/>
      <c r="M5" s="16"/>
      <c r="N5" s="16"/>
      <c r="O5" s="16"/>
      <c r="P5" s="16"/>
    </row>
    <row r="6" spans="1:20" ht="18" customHeight="1" x14ac:dyDescent="0.2">
      <c r="A6" s="15" t="s">
        <v>3</v>
      </c>
      <c r="B6" s="27">
        <v>45961</v>
      </c>
      <c r="F6" s="89"/>
      <c r="G6" s="89"/>
      <c r="H6" s="88"/>
      <c r="K6" s="19"/>
      <c r="L6" s="19"/>
      <c r="M6" s="16"/>
      <c r="N6" s="16"/>
      <c r="O6" s="16"/>
      <c r="P6" s="16"/>
    </row>
    <row r="7" spans="1:20" ht="18" customHeight="1" x14ac:dyDescent="0.2">
      <c r="A7" s="15" t="s">
        <v>4</v>
      </c>
      <c r="C7" s="3"/>
      <c r="F7" s="89"/>
      <c r="G7" s="89"/>
      <c r="H7" s="88"/>
      <c r="K7" s="19"/>
      <c r="L7" s="19"/>
      <c r="M7" s="16"/>
      <c r="N7" s="16"/>
      <c r="O7" s="16"/>
      <c r="P7" s="16"/>
    </row>
    <row r="8" spans="1:20" s="39" customFormat="1" ht="18" customHeight="1" x14ac:dyDescent="0.2">
      <c r="A8" s="15" t="s">
        <v>5</v>
      </c>
      <c r="B8" s="15"/>
      <c r="C8" s="15"/>
      <c r="D8" s="36"/>
      <c r="E8" s="99"/>
      <c r="F8" s="90"/>
      <c r="G8" s="90"/>
      <c r="H8" s="90"/>
      <c r="I8" s="90"/>
      <c r="J8" s="32"/>
      <c r="K8" s="21"/>
      <c r="L8" s="21"/>
      <c r="M8" s="38"/>
      <c r="N8" s="30"/>
      <c r="O8" s="31"/>
      <c r="P8" s="31"/>
    </row>
    <row r="9" spans="1:20" ht="18" customHeight="1" x14ac:dyDescent="0.2">
      <c r="C9" s="3"/>
      <c r="F9" s="89"/>
      <c r="G9" s="89"/>
      <c r="H9" s="88"/>
      <c r="K9" s="19"/>
      <c r="L9" s="19"/>
      <c r="M9" s="16"/>
      <c r="N9" s="16"/>
      <c r="O9" s="16"/>
      <c r="P9" s="16"/>
    </row>
    <row r="10" spans="1:20" s="38" customFormat="1" ht="18" customHeight="1" x14ac:dyDescent="0.2">
      <c r="A10" s="40" t="s">
        <v>6</v>
      </c>
      <c r="B10" s="40" t="s">
        <v>7</v>
      </c>
      <c r="C10" s="41" t="s">
        <v>8</v>
      </c>
      <c r="D10" s="42" t="s">
        <v>9</v>
      </c>
      <c r="E10" s="100" t="s">
        <v>10</v>
      </c>
      <c r="F10" s="91"/>
      <c r="G10" s="91" t="s">
        <v>11</v>
      </c>
      <c r="H10" s="91" t="s">
        <v>12</v>
      </c>
      <c r="I10" s="91" t="s">
        <v>13</v>
      </c>
      <c r="J10" s="43"/>
      <c r="K10" s="4" t="s">
        <v>14</v>
      </c>
      <c r="L10" s="4" t="s">
        <v>15</v>
      </c>
      <c r="N10" s="44" t="s">
        <v>16</v>
      </c>
      <c r="O10" s="45" t="s">
        <v>17</v>
      </c>
      <c r="P10" s="45" t="s">
        <v>18</v>
      </c>
    </row>
    <row r="11" spans="1:20" s="39" customFormat="1" ht="18" customHeight="1" x14ac:dyDescent="0.2">
      <c r="A11" s="46"/>
      <c r="B11" s="47" t="s">
        <v>19</v>
      </c>
      <c r="C11" s="70" t="s">
        <v>20</v>
      </c>
      <c r="D11" s="73" t="s">
        <v>9</v>
      </c>
      <c r="E11" s="102">
        <v>4</v>
      </c>
      <c r="F11" s="95"/>
      <c r="G11" s="95">
        <f>SUM(G12:G14)</f>
        <v>193063.67999999999</v>
      </c>
      <c r="H11" s="95">
        <f>+E11*G11</f>
        <v>772254.71999999997</v>
      </c>
      <c r="I11" s="96"/>
      <c r="J11" s="74"/>
      <c r="K11" s="75"/>
      <c r="L11" s="85"/>
      <c r="M11" s="85"/>
      <c r="N11" s="85"/>
      <c r="O11" s="85"/>
      <c r="P11" s="85"/>
      <c r="Q11" s="82" t="s">
        <v>21</v>
      </c>
      <c r="R11" s="82" t="s">
        <v>22</v>
      </c>
      <c r="S11" s="82" t="s">
        <v>23</v>
      </c>
      <c r="T11" s="83">
        <f>+G11*E11*[1]Cascada!$H$89</f>
        <v>2089231.2625580763</v>
      </c>
    </row>
    <row r="12" spans="1:20" s="39" customFormat="1" ht="18" customHeight="1" x14ac:dyDescent="0.2">
      <c r="A12" s="16" t="s">
        <v>24</v>
      </c>
      <c r="B12" s="15"/>
      <c r="C12" s="29" t="s">
        <v>25</v>
      </c>
      <c r="D12" s="16" t="s">
        <v>26</v>
      </c>
      <c r="E12" s="65">
        <v>16</v>
      </c>
      <c r="F12" s="94">
        <v>6197.24</v>
      </c>
      <c r="G12" s="89">
        <f>+E12*F12</f>
        <v>99155.839999999997</v>
      </c>
      <c r="H12" s="93"/>
      <c r="I12" s="89"/>
      <c r="J12" s="5"/>
      <c r="K12" s="16"/>
      <c r="L12" s="16"/>
      <c r="M12" s="16"/>
      <c r="N12" s="30">
        <f>E12*$E$11</f>
        <v>64</v>
      </c>
      <c r="O12" s="31">
        <f>F12</f>
        <v>6197.24</v>
      </c>
      <c r="P12" s="31">
        <f>N12*O12</f>
        <v>396623.35999999999</v>
      </c>
      <c r="Q12" s="71">
        <v>2</v>
      </c>
      <c r="R12" s="72">
        <f>+N12/8</f>
        <v>8</v>
      </c>
      <c r="S12" s="72">
        <f>+R12/Q12</f>
        <v>4</v>
      </c>
    </row>
    <row r="13" spans="1:20" s="39" customFormat="1" ht="18" customHeight="1" x14ac:dyDescent="0.2">
      <c r="A13" s="16" t="s">
        <v>24</v>
      </c>
      <c r="B13" s="15"/>
      <c r="C13" s="29" t="s">
        <v>27</v>
      </c>
      <c r="D13" s="16" t="s">
        <v>26</v>
      </c>
      <c r="E13" s="65">
        <v>8</v>
      </c>
      <c r="F13" s="94">
        <v>6197.24</v>
      </c>
      <c r="G13" s="89">
        <f>+E13*F13</f>
        <v>49577.919999999998</v>
      </c>
      <c r="H13" s="93"/>
      <c r="I13" s="89"/>
      <c r="J13" s="5"/>
      <c r="K13" s="16"/>
      <c r="L13" s="16"/>
      <c r="M13" s="16"/>
      <c r="N13" s="30">
        <f t="shared" ref="N13:N14" si="0">E13*$E$11</f>
        <v>32</v>
      </c>
      <c r="O13" s="31">
        <f t="shared" ref="O13:O14" si="1">F13</f>
        <v>6197.24</v>
      </c>
      <c r="P13" s="31">
        <f t="shared" ref="P13:P14" si="2">N13*O13</f>
        <v>198311.67999999999</v>
      </c>
      <c r="Q13" s="71">
        <v>1</v>
      </c>
      <c r="R13" s="72">
        <f>+N13/8</f>
        <v>4</v>
      </c>
      <c r="S13" s="72">
        <f>+R13/Q13</f>
        <v>4</v>
      </c>
    </row>
    <row r="14" spans="1:20" s="39" customFormat="1" ht="18" customHeight="1" x14ac:dyDescent="0.2">
      <c r="A14" s="16" t="s">
        <v>24</v>
      </c>
      <c r="B14" s="15"/>
      <c r="C14" s="29" t="s">
        <v>28</v>
      </c>
      <c r="D14" s="16" t="s">
        <v>26</v>
      </c>
      <c r="E14" s="65">
        <v>8</v>
      </c>
      <c r="F14" s="94">
        <v>5541.24</v>
      </c>
      <c r="G14" s="89">
        <f>+E14*F14</f>
        <v>44329.919999999998</v>
      </c>
      <c r="H14" s="93"/>
      <c r="I14" s="89"/>
      <c r="J14" s="5"/>
      <c r="K14" s="16"/>
      <c r="L14" s="16"/>
      <c r="M14" s="16"/>
      <c r="N14" s="30">
        <f t="shared" si="0"/>
        <v>32</v>
      </c>
      <c r="O14" s="31">
        <f t="shared" si="1"/>
        <v>5541.24</v>
      </c>
      <c r="P14" s="31">
        <f t="shared" si="2"/>
        <v>177319.67999999999</v>
      </c>
      <c r="Q14" s="71">
        <v>1</v>
      </c>
      <c r="R14" s="72">
        <f>+N14/8</f>
        <v>4</v>
      </c>
      <c r="S14" s="72">
        <f>+R14/Q14</f>
        <v>4</v>
      </c>
    </row>
    <row r="15" spans="1:20" s="39" customFormat="1" ht="18" customHeight="1" x14ac:dyDescent="0.2">
      <c r="A15" s="46"/>
      <c r="B15" s="47" t="s">
        <v>29</v>
      </c>
      <c r="C15" s="70" t="s">
        <v>30</v>
      </c>
      <c r="D15" s="73" t="s">
        <v>31</v>
      </c>
      <c r="E15" s="102">
        <v>40</v>
      </c>
      <c r="F15" s="95"/>
      <c r="G15" s="95">
        <f>SUM(G16:G18)</f>
        <v>3162.4991999999997</v>
      </c>
      <c r="H15" s="95">
        <f>+E15*G15</f>
        <v>126499.96799999999</v>
      </c>
      <c r="I15" s="96"/>
      <c r="J15" s="74"/>
      <c r="K15" s="75"/>
      <c r="L15" s="85"/>
      <c r="M15" s="85"/>
      <c r="N15" s="85"/>
      <c r="O15" s="85"/>
      <c r="P15" s="85"/>
      <c r="Q15" s="82" t="s">
        <v>21</v>
      </c>
      <c r="R15" s="82" t="s">
        <v>22</v>
      </c>
      <c r="S15" s="82" t="s">
        <v>23</v>
      </c>
      <c r="T15" s="83">
        <f>+G15*E15*[1]Cascada!$H$89</f>
        <v>342228.64686174563</v>
      </c>
    </row>
    <row r="16" spans="1:20" s="39" customFormat="1" ht="18" customHeight="1" x14ac:dyDescent="0.2">
      <c r="A16" s="16" t="s">
        <v>24</v>
      </c>
      <c r="B16" s="15"/>
      <c r="C16" s="29" t="s">
        <v>25</v>
      </c>
      <c r="D16" s="16" t="s">
        <v>26</v>
      </c>
      <c r="E16" s="65">
        <f>(8/100)</f>
        <v>0.08</v>
      </c>
      <c r="F16" s="94">
        <v>6197.24</v>
      </c>
      <c r="G16" s="89">
        <f t="shared" ref="G16" si="3">+E16*F16</f>
        <v>495.7792</v>
      </c>
      <c r="H16" s="93"/>
      <c r="I16" s="89"/>
      <c r="J16" s="5"/>
      <c r="K16" s="16"/>
      <c r="L16" s="16"/>
      <c r="M16" s="16"/>
      <c r="N16" s="30">
        <f>E16*$E$15</f>
        <v>3.2</v>
      </c>
      <c r="O16" s="31">
        <f>F16</f>
        <v>6197.24</v>
      </c>
      <c r="P16" s="31">
        <f>N16*O16</f>
        <v>19831.168000000001</v>
      </c>
      <c r="Q16" s="71">
        <v>2</v>
      </c>
      <c r="R16" s="72">
        <f>+N16/8</f>
        <v>0.4</v>
      </c>
      <c r="S16" s="72">
        <f>+R16/Q16</f>
        <v>0.2</v>
      </c>
    </row>
    <row r="17" spans="1:22" s="39" customFormat="1" ht="18" customHeight="1" x14ac:dyDescent="0.2">
      <c r="A17" s="16" t="s">
        <v>32</v>
      </c>
      <c r="B17" s="15"/>
      <c r="C17" s="29" t="s">
        <v>33</v>
      </c>
      <c r="D17" s="16" t="s">
        <v>34</v>
      </c>
      <c r="E17" s="65">
        <f>0.3584</f>
        <v>0.3584</v>
      </c>
      <c r="F17" s="94">
        <f>250000/48</f>
        <v>5208.333333333333</v>
      </c>
      <c r="G17" s="89">
        <f>+E17*F17</f>
        <v>1866.6666666666665</v>
      </c>
      <c r="H17" s="93"/>
      <c r="I17" s="89"/>
      <c r="J17" s="5"/>
      <c r="K17" s="16"/>
      <c r="L17" s="16"/>
      <c r="M17" s="16"/>
      <c r="N17" s="30">
        <f t="shared" ref="N17:N18" si="4">E17*$E$15</f>
        <v>14.336</v>
      </c>
      <c r="O17" s="31">
        <f t="shared" ref="O17:O18" si="5">F17</f>
        <v>5208.333333333333</v>
      </c>
      <c r="P17" s="31">
        <f t="shared" ref="P17:P18" si="6">N17*O17</f>
        <v>74666.666666666657</v>
      </c>
      <c r="Q17" s="15"/>
    </row>
    <row r="18" spans="1:22" s="39" customFormat="1" ht="18" customHeight="1" x14ac:dyDescent="0.2">
      <c r="A18" s="16" t="s">
        <v>32</v>
      </c>
      <c r="B18" s="15"/>
      <c r="C18" s="29" t="s">
        <v>35</v>
      </c>
      <c r="D18" s="16" t="s">
        <v>34</v>
      </c>
      <c r="E18" s="65">
        <v>0.15361023999999998</v>
      </c>
      <c r="F18" s="94">
        <f>250000/48</f>
        <v>5208.333333333333</v>
      </c>
      <c r="G18" s="89">
        <f>+E18*F18</f>
        <v>800.05333333333317</v>
      </c>
      <c r="H18" s="93"/>
      <c r="I18" s="89"/>
      <c r="J18" s="5"/>
      <c r="K18" s="16"/>
      <c r="L18" s="16"/>
      <c r="M18" s="16"/>
      <c r="N18" s="30">
        <f t="shared" si="4"/>
        <v>6.1444095999999995</v>
      </c>
      <c r="O18" s="31">
        <f t="shared" si="5"/>
        <v>5208.333333333333</v>
      </c>
      <c r="P18" s="31">
        <f t="shared" si="6"/>
        <v>32002.133333333328</v>
      </c>
      <c r="Q18" s="15"/>
    </row>
    <row r="19" spans="1:22" s="39" customFormat="1" ht="18" customHeight="1" x14ac:dyDescent="0.2">
      <c r="A19" s="46"/>
      <c r="B19" s="47" t="s">
        <v>36</v>
      </c>
      <c r="C19" s="70" t="s">
        <v>37</v>
      </c>
      <c r="D19" s="73" t="s">
        <v>31</v>
      </c>
      <c r="E19" s="102">
        <v>20</v>
      </c>
      <c r="F19" s="95"/>
      <c r="G19" s="95">
        <f>SUM(G20:G25)</f>
        <v>9761.7022599999982</v>
      </c>
      <c r="H19" s="95">
        <f>+E19*G19</f>
        <v>195234.04519999996</v>
      </c>
      <c r="I19" s="96"/>
      <c r="J19" s="74"/>
      <c r="K19" s="75"/>
      <c r="L19" s="85"/>
      <c r="M19" s="85"/>
      <c r="N19" s="85"/>
      <c r="O19" s="85"/>
      <c r="P19" s="85"/>
      <c r="Q19" s="82" t="s">
        <v>21</v>
      </c>
      <c r="R19" s="82" t="s">
        <v>22</v>
      </c>
      <c r="S19" s="82" t="s">
        <v>23</v>
      </c>
      <c r="T19" s="83">
        <f>+G19*E19*[1]Cascada!$H$89</f>
        <v>528179.44673425436</v>
      </c>
    </row>
    <row r="20" spans="1:22" s="39" customFormat="1" ht="18" customHeight="1" x14ac:dyDescent="0.2">
      <c r="A20" s="16" t="s">
        <v>24</v>
      </c>
      <c r="B20" s="15"/>
      <c r="C20" s="29" t="s">
        <v>25</v>
      </c>
      <c r="D20" s="16" t="s">
        <v>26</v>
      </c>
      <c r="E20" s="65">
        <v>0.41199999999999998</v>
      </c>
      <c r="F20" s="94">
        <v>6197.24</v>
      </c>
      <c r="G20" s="89">
        <f t="shared" ref="G20:G25" si="7">+E20*F20</f>
        <v>2553.2628799999998</v>
      </c>
      <c r="H20" s="93"/>
      <c r="I20" s="89"/>
      <c r="J20" s="5"/>
      <c r="K20" s="16"/>
      <c r="L20" s="16"/>
      <c r="M20" s="16"/>
      <c r="N20" s="30">
        <f t="shared" ref="N20:N25" si="8">E20*$E$19</f>
        <v>8.24</v>
      </c>
      <c r="O20" s="31">
        <f t="shared" ref="O20:O25" si="9">F20</f>
        <v>6197.24</v>
      </c>
      <c r="P20" s="31">
        <f t="shared" ref="P20:P25" si="10">N20*O20</f>
        <v>51065.257599999997</v>
      </c>
      <c r="Q20" s="71">
        <v>2</v>
      </c>
      <c r="R20" s="72">
        <f>+N20/8</f>
        <v>1.03</v>
      </c>
      <c r="S20" s="72">
        <f>+R20/Q20</f>
        <v>0.51500000000000001</v>
      </c>
    </row>
    <row r="21" spans="1:22" s="39" customFormat="1" ht="18" customHeight="1" x14ac:dyDescent="0.2">
      <c r="A21" s="16" t="s">
        <v>24</v>
      </c>
      <c r="B21" s="15"/>
      <c r="C21" s="29" t="s">
        <v>27</v>
      </c>
      <c r="D21" s="16" t="s">
        <v>26</v>
      </c>
      <c r="E21" s="65">
        <f>+E20/2</f>
        <v>0.20599999999999999</v>
      </c>
      <c r="F21" s="94">
        <v>6197.24</v>
      </c>
      <c r="G21" s="89">
        <f t="shared" si="7"/>
        <v>1276.6314399999999</v>
      </c>
      <c r="H21" s="93"/>
      <c r="I21" s="89"/>
      <c r="J21" s="5"/>
      <c r="K21" s="16"/>
      <c r="L21" s="16"/>
      <c r="M21" s="16"/>
      <c r="N21" s="30">
        <f t="shared" si="8"/>
        <v>4.12</v>
      </c>
      <c r="O21" s="31">
        <f t="shared" si="9"/>
        <v>6197.24</v>
      </c>
      <c r="P21" s="31">
        <f t="shared" si="10"/>
        <v>25532.628799999999</v>
      </c>
      <c r="Q21" s="71">
        <v>1</v>
      </c>
      <c r="R21" s="72">
        <f>+N21/8</f>
        <v>0.51500000000000001</v>
      </c>
      <c r="S21" s="72">
        <f>+R21/Q21</f>
        <v>0.51500000000000001</v>
      </c>
    </row>
    <row r="22" spans="1:22" s="39" customFormat="1" ht="18" customHeight="1" x14ac:dyDescent="0.2">
      <c r="A22" s="16" t="s">
        <v>24</v>
      </c>
      <c r="B22" s="15"/>
      <c r="C22" s="29" t="s">
        <v>28</v>
      </c>
      <c r="D22" s="16" t="s">
        <v>26</v>
      </c>
      <c r="E22" s="65">
        <f>+E21</f>
        <v>0.20599999999999999</v>
      </c>
      <c r="F22" s="94">
        <v>5541.24</v>
      </c>
      <c r="G22" s="89">
        <f t="shared" si="7"/>
        <v>1141.4954399999999</v>
      </c>
      <c r="H22" s="93"/>
      <c r="I22" s="89"/>
      <c r="J22" s="5"/>
      <c r="K22" s="16"/>
      <c r="L22" s="16"/>
      <c r="M22" s="16"/>
      <c r="N22" s="30">
        <f t="shared" si="8"/>
        <v>4.12</v>
      </c>
      <c r="O22" s="31">
        <f t="shared" si="9"/>
        <v>5541.24</v>
      </c>
      <c r="P22" s="31">
        <f t="shared" si="10"/>
        <v>22829.908800000001</v>
      </c>
      <c r="Q22" s="71">
        <v>1</v>
      </c>
      <c r="R22" s="72">
        <f>+N22/8</f>
        <v>0.51500000000000001</v>
      </c>
      <c r="S22" s="72">
        <f>+R22/Q22</f>
        <v>0.51500000000000001</v>
      </c>
    </row>
    <row r="23" spans="1:22" s="39" customFormat="1" ht="18" customHeight="1" x14ac:dyDescent="0.2">
      <c r="A23" s="16" t="s">
        <v>32</v>
      </c>
      <c r="B23" s="15"/>
      <c r="C23" s="29" t="s">
        <v>38</v>
      </c>
      <c r="D23" s="16" t="s">
        <v>39</v>
      </c>
      <c r="E23" s="65">
        <v>15</v>
      </c>
      <c r="F23" s="94">
        <v>250</v>
      </c>
      <c r="G23" s="89">
        <f t="shared" si="7"/>
        <v>3750</v>
      </c>
      <c r="H23" s="93"/>
      <c r="I23" s="89"/>
      <c r="J23" s="5"/>
      <c r="K23" s="16"/>
      <c r="L23" s="16"/>
      <c r="M23" s="16"/>
      <c r="N23" s="30">
        <f t="shared" si="8"/>
        <v>300</v>
      </c>
      <c r="O23" s="31">
        <f t="shared" si="9"/>
        <v>250</v>
      </c>
      <c r="P23" s="31">
        <f t="shared" si="10"/>
        <v>75000</v>
      </c>
      <c r="Q23" s="15"/>
    </row>
    <row r="24" spans="1:22" s="39" customFormat="1" ht="18" customHeight="1" x14ac:dyDescent="0.2">
      <c r="A24" s="16" t="s">
        <v>32</v>
      </c>
      <c r="B24" s="15"/>
      <c r="C24" s="29" t="s">
        <v>40</v>
      </c>
      <c r="D24" s="16" t="s">
        <v>41</v>
      </c>
      <c r="E24" s="65">
        <v>1</v>
      </c>
      <c r="F24" s="94">
        <f>52000/50</f>
        <v>1040</v>
      </c>
      <c r="G24" s="89">
        <f t="shared" si="7"/>
        <v>1040</v>
      </c>
      <c r="H24" s="93"/>
      <c r="I24" s="89"/>
      <c r="J24" s="5"/>
      <c r="K24" s="16"/>
      <c r="L24" s="16"/>
      <c r="M24" s="16"/>
      <c r="N24" s="30">
        <f t="shared" si="8"/>
        <v>20</v>
      </c>
      <c r="O24" s="31">
        <f t="shared" si="9"/>
        <v>1040</v>
      </c>
      <c r="P24" s="31">
        <f t="shared" si="10"/>
        <v>20800</v>
      </c>
      <c r="Q24" s="15"/>
    </row>
    <row r="25" spans="1:22" s="39" customFormat="1" ht="18" customHeight="1" x14ac:dyDescent="0.2">
      <c r="A25" s="16" t="s">
        <v>42</v>
      </c>
      <c r="B25" s="15"/>
      <c r="C25" s="29" t="s">
        <v>43</v>
      </c>
      <c r="D25" s="16" t="s">
        <v>26</v>
      </c>
      <c r="E25" s="65">
        <v>1.6447368421052631E-3</v>
      </c>
      <c r="F25" s="94">
        <v>190</v>
      </c>
      <c r="G25" s="89">
        <f t="shared" si="7"/>
        <v>0.3125</v>
      </c>
      <c r="H25" s="93"/>
      <c r="I25" s="89"/>
      <c r="J25" s="5"/>
      <c r="K25" s="16"/>
      <c r="L25" s="16"/>
      <c r="M25" s="16"/>
      <c r="N25" s="30">
        <f t="shared" si="8"/>
        <v>3.2894736842105261E-2</v>
      </c>
      <c r="O25" s="31">
        <f t="shared" si="9"/>
        <v>190</v>
      </c>
      <c r="P25" s="31">
        <f t="shared" si="10"/>
        <v>6.25</v>
      </c>
      <c r="Q25" s="15"/>
    </row>
    <row r="26" spans="1:22" s="39" customFormat="1" ht="18" customHeight="1" x14ac:dyDescent="0.2">
      <c r="A26" s="46"/>
      <c r="B26" s="47" t="s">
        <v>44</v>
      </c>
      <c r="C26" s="70" t="s">
        <v>45</v>
      </c>
      <c r="D26" s="73" t="s">
        <v>31</v>
      </c>
      <c r="E26" s="102">
        <v>400</v>
      </c>
      <c r="F26" s="95"/>
      <c r="G26" s="95">
        <f>SUM(G27:G30)</f>
        <v>15222.547200000001</v>
      </c>
      <c r="H26" s="95">
        <f>+E26*G26</f>
        <v>6089018.8800000008</v>
      </c>
      <c r="I26" s="96"/>
      <c r="J26" s="74"/>
      <c r="K26" s="75"/>
      <c r="L26" s="85"/>
      <c r="M26" s="85"/>
      <c r="N26" s="85"/>
      <c r="O26" s="85"/>
      <c r="P26" s="85"/>
      <c r="Q26" s="82" t="s">
        <v>21</v>
      </c>
      <c r="R26" s="82" t="s">
        <v>22</v>
      </c>
      <c r="S26" s="82" t="s">
        <v>23</v>
      </c>
      <c r="T26" s="83">
        <f>+G26*E26*[1]Cascada!$H$89</f>
        <v>16473021.495294152</v>
      </c>
      <c r="U26" s="84"/>
    </row>
    <row r="27" spans="1:22" s="39" customFormat="1" ht="18" customHeight="1" x14ac:dyDescent="0.2">
      <c r="A27" s="16" t="s">
        <v>24</v>
      </c>
      <c r="B27" s="15"/>
      <c r="C27" s="29" t="s">
        <v>25</v>
      </c>
      <c r="D27" s="16" t="s">
        <v>26</v>
      </c>
      <c r="E27" s="65">
        <f>+(8/25)*2</f>
        <v>0.64</v>
      </c>
      <c r="F27" s="94">
        <v>6197.24</v>
      </c>
      <c r="G27" s="89">
        <f t="shared" ref="G27:G30" si="11">+E27*F27</f>
        <v>3966.2336</v>
      </c>
      <c r="H27" s="97"/>
      <c r="I27" s="89"/>
      <c r="J27" s="5"/>
      <c r="K27" s="16"/>
      <c r="L27" s="16"/>
      <c r="M27" s="16"/>
      <c r="N27" s="30">
        <f>E27*$E$26</f>
        <v>256</v>
      </c>
      <c r="O27" s="31">
        <f>F27</f>
        <v>6197.24</v>
      </c>
      <c r="P27" s="31">
        <f>N27*O27</f>
        <v>1586493.4399999999</v>
      </c>
      <c r="Q27" s="71">
        <v>2</v>
      </c>
      <c r="R27" s="72">
        <f>+N27/8</f>
        <v>32</v>
      </c>
      <c r="S27" s="72">
        <f>+R27/Q27</f>
        <v>16</v>
      </c>
      <c r="T27" s="84"/>
    </row>
    <row r="28" spans="1:22" s="39" customFormat="1" ht="18" customHeight="1" x14ac:dyDescent="0.2">
      <c r="A28" s="16" t="s">
        <v>24</v>
      </c>
      <c r="B28" s="15"/>
      <c r="C28" s="29" t="s">
        <v>27</v>
      </c>
      <c r="D28" s="16" t="s">
        <v>26</v>
      </c>
      <c r="E28" s="65">
        <f>+(8/25)</f>
        <v>0.32</v>
      </c>
      <c r="F28" s="94">
        <v>6197.24</v>
      </c>
      <c r="G28" s="89">
        <f t="shared" si="11"/>
        <v>1983.1168</v>
      </c>
      <c r="H28" s="93"/>
      <c r="I28" s="89"/>
      <c r="J28" s="5"/>
      <c r="K28" s="16"/>
      <c r="L28" s="16"/>
      <c r="M28" s="16"/>
      <c r="N28" s="30">
        <f t="shared" ref="N28:N30" si="12">E28*$E$26</f>
        <v>128</v>
      </c>
      <c r="O28" s="31">
        <f t="shared" ref="O28:O30" si="13">F28</f>
        <v>6197.24</v>
      </c>
      <c r="P28" s="31">
        <f t="shared" ref="P28:P30" si="14">N28*O28</f>
        <v>793246.71999999997</v>
      </c>
      <c r="Q28" s="71">
        <v>1</v>
      </c>
      <c r="R28" s="72">
        <f>+N28/8</f>
        <v>16</v>
      </c>
      <c r="S28" s="72">
        <f>+R28/Q28</f>
        <v>16</v>
      </c>
    </row>
    <row r="29" spans="1:22" s="39" customFormat="1" ht="18" customHeight="1" x14ac:dyDescent="0.2">
      <c r="A29" s="16" t="s">
        <v>24</v>
      </c>
      <c r="B29" s="15"/>
      <c r="C29" s="29" t="s">
        <v>28</v>
      </c>
      <c r="D29" s="16" t="s">
        <v>26</v>
      </c>
      <c r="E29" s="65">
        <f>+(8/25)</f>
        <v>0.32</v>
      </c>
      <c r="F29" s="94">
        <v>5541.24</v>
      </c>
      <c r="G29" s="89">
        <f t="shared" si="11"/>
        <v>1773.1967999999999</v>
      </c>
      <c r="H29" s="93"/>
      <c r="I29" s="89"/>
      <c r="J29" s="5"/>
      <c r="K29" s="16"/>
      <c r="L29" s="16"/>
      <c r="M29" s="16"/>
      <c r="N29" s="30">
        <f t="shared" si="12"/>
        <v>128</v>
      </c>
      <c r="O29" s="31">
        <f t="shared" si="13"/>
        <v>5541.24</v>
      </c>
      <c r="P29" s="31">
        <f t="shared" si="14"/>
        <v>709278.71999999997</v>
      </c>
      <c r="Q29" s="71">
        <v>1</v>
      </c>
      <c r="R29" s="72">
        <f>+N29/8</f>
        <v>16</v>
      </c>
      <c r="S29" s="72">
        <f>+R29/Q29</f>
        <v>16</v>
      </c>
      <c r="U29" s="39" t="s">
        <v>46</v>
      </c>
      <c r="V29" s="39" t="s">
        <v>47</v>
      </c>
    </row>
    <row r="30" spans="1:22" s="39" customFormat="1" ht="18" customHeight="1" x14ac:dyDescent="0.2">
      <c r="A30" s="16" t="s">
        <v>32</v>
      </c>
      <c r="B30" s="15"/>
      <c r="C30" s="29" t="s">
        <v>38</v>
      </c>
      <c r="D30" s="16" t="s">
        <v>39</v>
      </c>
      <c r="E30" s="65">
        <v>30</v>
      </c>
      <c r="F30" s="94">
        <v>250</v>
      </c>
      <c r="G30" s="89">
        <f t="shared" si="11"/>
        <v>7500</v>
      </c>
      <c r="H30" s="93"/>
      <c r="I30" s="89"/>
      <c r="J30" s="5"/>
      <c r="K30" s="16"/>
      <c r="L30" s="16"/>
      <c r="M30" s="16"/>
      <c r="N30" s="30">
        <f t="shared" si="12"/>
        <v>12000</v>
      </c>
      <c r="O30" s="31">
        <f t="shared" si="13"/>
        <v>250</v>
      </c>
      <c r="P30" s="31">
        <f t="shared" si="14"/>
        <v>3000000</v>
      </c>
      <c r="Q30" s="15"/>
      <c r="T30" s="39">
        <f>+N30/30</f>
        <v>400</v>
      </c>
      <c r="U30" s="39">
        <f>+T30/65</f>
        <v>6.1538461538461542</v>
      </c>
      <c r="V30" s="113">
        <f>+U30/20</f>
        <v>0.30769230769230771</v>
      </c>
    </row>
    <row r="31" spans="1:22" s="39" customFormat="1" ht="18" customHeight="1" x14ac:dyDescent="0.2">
      <c r="A31" s="46"/>
      <c r="B31" s="47" t="s">
        <v>48</v>
      </c>
      <c r="C31" s="70" t="s">
        <v>49</v>
      </c>
      <c r="D31" s="73" t="s">
        <v>31</v>
      </c>
      <c r="E31" s="102">
        <v>16</v>
      </c>
      <c r="F31" s="95"/>
      <c r="G31" s="95">
        <f>SUM(G32:G35)</f>
        <v>32709.551999999996</v>
      </c>
      <c r="H31" s="95">
        <f>+E31*G31</f>
        <v>523352.83199999994</v>
      </c>
      <c r="I31" s="96"/>
      <c r="J31" s="74"/>
      <c r="K31" s="75"/>
      <c r="L31" s="85"/>
      <c r="M31" s="85"/>
      <c r="N31" s="85"/>
      <c r="O31" s="85"/>
      <c r="P31" s="85"/>
      <c r="Q31" s="82" t="s">
        <v>21</v>
      </c>
      <c r="R31" s="82" t="s">
        <v>22</v>
      </c>
      <c r="S31" s="82" t="s">
        <v>23</v>
      </c>
      <c r="T31" s="83">
        <f>+G31*E31*[1]Cascada!$H$89</f>
        <v>1415860.6864360825</v>
      </c>
    </row>
    <row r="32" spans="1:22" s="39" customFormat="1" ht="18" customHeight="1" x14ac:dyDescent="0.2">
      <c r="A32" s="16" t="s">
        <v>24</v>
      </c>
      <c r="B32" s="15"/>
      <c r="C32" s="29" t="s">
        <v>25</v>
      </c>
      <c r="D32" s="16" t="s">
        <v>26</v>
      </c>
      <c r="E32" s="65">
        <v>2.4</v>
      </c>
      <c r="F32" s="94">
        <v>6197.24</v>
      </c>
      <c r="G32" s="89">
        <f t="shared" ref="G32:G35" si="15">+E32*F32</f>
        <v>14873.375999999998</v>
      </c>
      <c r="H32" s="93"/>
      <c r="I32" s="89"/>
      <c r="J32" s="5"/>
      <c r="K32" s="16"/>
      <c r="L32" s="16"/>
      <c r="M32" s="16"/>
      <c r="N32" s="30">
        <f>E32*$E$31</f>
        <v>38.4</v>
      </c>
      <c r="O32" s="31">
        <f>F32</f>
        <v>6197.24</v>
      </c>
      <c r="P32" s="31">
        <f>N32*O32</f>
        <v>237974.01599999997</v>
      </c>
      <c r="Q32" s="71">
        <v>2</v>
      </c>
      <c r="R32" s="72">
        <f>+N32/8</f>
        <v>4.8</v>
      </c>
      <c r="S32" s="72">
        <f>+R32/Q32</f>
        <v>2.4</v>
      </c>
    </row>
    <row r="33" spans="1:22" s="39" customFormat="1" ht="18" customHeight="1" x14ac:dyDescent="0.2">
      <c r="A33" s="16" t="s">
        <v>24</v>
      </c>
      <c r="B33" s="15"/>
      <c r="C33" s="29" t="s">
        <v>27</v>
      </c>
      <c r="D33" s="16" t="s">
        <v>26</v>
      </c>
      <c r="E33" s="65">
        <f>+E32/2</f>
        <v>1.2</v>
      </c>
      <c r="F33" s="94">
        <v>6197.24</v>
      </c>
      <c r="G33" s="89">
        <f t="shared" si="15"/>
        <v>7436.6879999999992</v>
      </c>
      <c r="H33" s="93"/>
      <c r="I33" s="89"/>
      <c r="J33" s="5"/>
      <c r="K33" s="16"/>
      <c r="L33" s="16"/>
      <c r="M33" s="16"/>
      <c r="N33" s="30">
        <f t="shared" ref="N33:N35" si="16">E33*$E$31</f>
        <v>19.2</v>
      </c>
      <c r="O33" s="31">
        <f t="shared" ref="O33:O35" si="17">F33</f>
        <v>6197.24</v>
      </c>
      <c r="P33" s="31">
        <f t="shared" ref="P33:P35" si="18">N33*O33</f>
        <v>118987.00799999999</v>
      </c>
      <c r="Q33" s="71">
        <v>1</v>
      </c>
      <c r="R33" s="72">
        <f>+N33/8</f>
        <v>2.4</v>
      </c>
      <c r="S33" s="72">
        <f>+R33/Q33</f>
        <v>2.4</v>
      </c>
    </row>
    <row r="34" spans="1:22" s="39" customFormat="1" ht="18" customHeight="1" x14ac:dyDescent="0.2">
      <c r="A34" s="16" t="s">
        <v>24</v>
      </c>
      <c r="B34" s="15"/>
      <c r="C34" s="29" t="s">
        <v>28</v>
      </c>
      <c r="D34" s="16" t="s">
        <v>26</v>
      </c>
      <c r="E34" s="65">
        <f>+E33</f>
        <v>1.2</v>
      </c>
      <c r="F34" s="94">
        <v>5541.24</v>
      </c>
      <c r="G34" s="89">
        <f t="shared" si="15"/>
        <v>6649.4879999999994</v>
      </c>
      <c r="H34" s="93"/>
      <c r="I34" s="89"/>
      <c r="J34" s="5"/>
      <c r="K34" s="16"/>
      <c r="L34" s="16"/>
      <c r="M34" s="16"/>
      <c r="N34" s="30">
        <f t="shared" si="16"/>
        <v>19.2</v>
      </c>
      <c r="O34" s="31">
        <f t="shared" si="17"/>
        <v>5541.24</v>
      </c>
      <c r="P34" s="31">
        <f t="shared" si="18"/>
        <v>106391.80799999999</v>
      </c>
      <c r="Q34" s="71">
        <v>1</v>
      </c>
      <c r="R34" s="72">
        <f>+N34/8</f>
        <v>2.4</v>
      </c>
      <c r="S34" s="72">
        <f>+R34/Q34</f>
        <v>2.4</v>
      </c>
    </row>
    <row r="35" spans="1:22" s="39" customFormat="1" ht="18" customHeight="1" x14ac:dyDescent="0.2">
      <c r="A35" s="16" t="s">
        <v>32</v>
      </c>
      <c r="B35" s="15"/>
      <c r="C35" s="29" t="s">
        <v>38</v>
      </c>
      <c r="D35" s="16" t="s">
        <v>39</v>
      </c>
      <c r="E35" s="65">
        <v>15</v>
      </c>
      <c r="F35" s="94">
        <v>250</v>
      </c>
      <c r="G35" s="89">
        <f t="shared" si="15"/>
        <v>3750</v>
      </c>
      <c r="H35" s="93"/>
      <c r="I35" s="89"/>
      <c r="J35" s="5"/>
      <c r="K35" s="16"/>
      <c r="L35" s="16"/>
      <c r="M35" s="16"/>
      <c r="N35" s="30">
        <f t="shared" si="16"/>
        <v>240</v>
      </c>
      <c r="O35" s="31">
        <f t="shared" si="17"/>
        <v>250</v>
      </c>
      <c r="P35" s="31">
        <f t="shared" si="18"/>
        <v>60000</v>
      </c>
      <c r="Q35" s="15"/>
    </row>
    <row r="36" spans="1:22" s="39" customFormat="1" ht="18" customHeight="1" x14ac:dyDescent="0.2">
      <c r="A36" s="46"/>
      <c r="B36" s="47" t="s">
        <v>50</v>
      </c>
      <c r="C36" s="70" t="s">
        <v>51</v>
      </c>
      <c r="D36" s="73" t="s">
        <v>9</v>
      </c>
      <c r="E36" s="102">
        <v>12</v>
      </c>
      <c r="F36" s="95"/>
      <c r="G36" s="95">
        <f>SUM(G37:G39)</f>
        <v>72398.880000000005</v>
      </c>
      <c r="H36" s="95">
        <f>+E36*G36</f>
        <v>868786.56</v>
      </c>
      <c r="I36" s="96"/>
      <c r="J36" s="74"/>
      <c r="K36" s="75"/>
      <c r="L36" s="85"/>
      <c r="M36" s="85"/>
      <c r="N36" s="85"/>
      <c r="O36" s="85"/>
      <c r="P36" s="85"/>
      <c r="Q36" s="82" t="s">
        <v>21</v>
      </c>
      <c r="R36" s="82" t="s">
        <v>22</v>
      </c>
      <c r="S36" s="82" t="s">
        <v>23</v>
      </c>
      <c r="T36" s="83">
        <f>+G36*E36*[1]Cascada!$H$89</f>
        <v>2350385.1703778361</v>
      </c>
      <c r="U36" s="84">
        <f>SUM(T11:T36)/E26</f>
        <v>57998.266770655362</v>
      </c>
      <c r="V36" s="83">
        <f>+U36/[1]Cascada!$H$89</f>
        <v>21438.237148824352</v>
      </c>
    </row>
    <row r="37" spans="1:22" s="39" customFormat="1" ht="18" customHeight="1" x14ac:dyDescent="0.2">
      <c r="A37" s="16" t="s">
        <v>24</v>
      </c>
      <c r="B37" s="15"/>
      <c r="C37" s="29" t="s">
        <v>25</v>
      </c>
      <c r="D37" s="16" t="s">
        <v>26</v>
      </c>
      <c r="E37" s="65">
        <v>6</v>
      </c>
      <c r="F37" s="94">
        <v>6197.24</v>
      </c>
      <c r="G37" s="89">
        <f t="shared" ref="G37:G39" si="19">+E37*F37</f>
        <v>37183.440000000002</v>
      </c>
      <c r="H37" s="93"/>
      <c r="I37" s="89"/>
      <c r="J37" s="5"/>
      <c r="K37" s="16"/>
      <c r="L37" s="16"/>
      <c r="M37" s="16"/>
      <c r="N37" s="30">
        <f>E37*$E$36</f>
        <v>72</v>
      </c>
      <c r="O37" s="31">
        <f>F37</f>
        <v>6197.24</v>
      </c>
      <c r="P37" s="31">
        <f>N37*O37</f>
        <v>446201.27999999997</v>
      </c>
      <c r="Q37" s="71">
        <v>2</v>
      </c>
      <c r="R37" s="72">
        <f>+N37/8</f>
        <v>9</v>
      </c>
      <c r="S37" s="72">
        <f>+R37/Q37</f>
        <v>4.5</v>
      </c>
      <c r="U37" s="83">
        <f>+U36/1.21</f>
        <v>47932.451876574683</v>
      </c>
    </row>
    <row r="38" spans="1:22" s="39" customFormat="1" ht="18" customHeight="1" x14ac:dyDescent="0.2">
      <c r="A38" s="16" t="s">
        <v>24</v>
      </c>
      <c r="B38" s="15"/>
      <c r="C38" s="29" t="s">
        <v>27</v>
      </c>
      <c r="D38" s="16" t="s">
        <v>26</v>
      </c>
      <c r="E38" s="65">
        <v>3</v>
      </c>
      <c r="F38" s="94">
        <v>6197.24</v>
      </c>
      <c r="G38" s="89">
        <f t="shared" si="19"/>
        <v>18591.72</v>
      </c>
      <c r="H38" s="93"/>
      <c r="I38" s="89"/>
      <c r="J38" s="5"/>
      <c r="K38" s="16"/>
      <c r="L38" s="16"/>
      <c r="M38" s="16"/>
      <c r="N38" s="30">
        <f t="shared" ref="N38:N39" si="20">E38*$E$36</f>
        <v>36</v>
      </c>
      <c r="O38" s="31">
        <f t="shared" ref="O38:O39" si="21">F38</f>
        <v>6197.24</v>
      </c>
      <c r="P38" s="31">
        <f t="shared" ref="P38:P39" si="22">N38*O38</f>
        <v>223100.63999999998</v>
      </c>
      <c r="Q38" s="71">
        <v>1</v>
      </c>
      <c r="R38" s="72">
        <f>+N38/8</f>
        <v>4.5</v>
      </c>
      <c r="S38" s="72">
        <f>+R38/Q38</f>
        <v>4.5</v>
      </c>
    </row>
    <row r="39" spans="1:22" s="39" customFormat="1" ht="18" customHeight="1" x14ac:dyDescent="0.2">
      <c r="A39" s="16" t="s">
        <v>24</v>
      </c>
      <c r="B39" s="15"/>
      <c r="C39" s="29" t="s">
        <v>28</v>
      </c>
      <c r="D39" s="16" t="s">
        <v>26</v>
      </c>
      <c r="E39" s="65">
        <v>3</v>
      </c>
      <c r="F39" s="94">
        <v>5541.24</v>
      </c>
      <c r="G39" s="89">
        <f t="shared" si="19"/>
        <v>16623.72</v>
      </c>
      <c r="H39" s="93"/>
      <c r="I39" s="89"/>
      <c r="J39" s="5"/>
      <c r="K39" s="16"/>
      <c r="L39" s="16"/>
      <c r="M39" s="16"/>
      <c r="N39" s="30">
        <f t="shared" si="20"/>
        <v>36</v>
      </c>
      <c r="O39" s="31">
        <f t="shared" si="21"/>
        <v>5541.24</v>
      </c>
      <c r="P39" s="31">
        <f t="shared" si="22"/>
        <v>199484.63999999998</v>
      </c>
      <c r="Q39" s="71">
        <v>1</v>
      </c>
      <c r="R39" s="72">
        <f>+N39/8</f>
        <v>4.5</v>
      </c>
      <c r="S39" s="72">
        <f>+R39/Q39</f>
        <v>4.5</v>
      </c>
    </row>
    <row r="41" spans="1:22" s="39" customFormat="1" ht="18" customHeight="1" x14ac:dyDescent="0.2">
      <c r="A41" s="38"/>
      <c r="B41" s="67"/>
      <c r="C41" s="68"/>
      <c r="D41" s="69"/>
      <c r="E41" s="101"/>
      <c r="F41" s="89"/>
      <c r="G41" s="89"/>
      <c r="H41" s="92">
        <f>SUM(H11:H40)</f>
        <v>8575147.0052000005</v>
      </c>
      <c r="I41" s="92"/>
      <c r="J41" s="31"/>
      <c r="K41" s="31"/>
      <c r="L41" s="31"/>
      <c r="M41" s="38"/>
      <c r="N41" s="30"/>
      <c r="O41" s="31"/>
      <c r="P41" s="31">
        <f>SUM(P11:P40)</f>
        <v>8575147.0052000005</v>
      </c>
      <c r="Q41" s="63"/>
      <c r="R41" s="63"/>
      <c r="S41" s="64"/>
    </row>
    <row r="42" spans="1:22" s="39" customFormat="1" ht="18" customHeight="1" x14ac:dyDescent="0.2">
      <c r="A42" s="38"/>
      <c r="B42" s="67"/>
      <c r="C42" s="68"/>
      <c r="D42" s="69"/>
      <c r="E42" s="101"/>
      <c r="F42" s="89"/>
      <c r="G42" s="89"/>
      <c r="H42" s="92"/>
      <c r="I42" s="92"/>
      <c r="J42" s="31"/>
      <c r="K42" s="31"/>
      <c r="L42" s="31"/>
      <c r="M42" s="38"/>
      <c r="N42" s="30"/>
      <c r="O42" s="31"/>
      <c r="P42" s="31"/>
      <c r="Q42" s="63"/>
      <c r="R42" s="63"/>
      <c r="S42" s="64"/>
    </row>
    <row r="43" spans="1:22" ht="18" customHeight="1" x14ac:dyDescent="0.2">
      <c r="P43" s="5"/>
    </row>
    <row r="46" spans="1:22" ht="18" customHeight="1" x14ac:dyDescent="0.2">
      <c r="D46" s="36"/>
      <c r="E46" s="99"/>
      <c r="F46" s="90"/>
      <c r="G46" s="90"/>
      <c r="H46" s="90"/>
      <c r="I46" s="90"/>
      <c r="K46" s="32"/>
    </row>
    <row r="47" spans="1:22" ht="18" customHeight="1" x14ac:dyDescent="0.2">
      <c r="E47" s="103"/>
    </row>
    <row r="48" spans="1:22" ht="18" customHeight="1" x14ac:dyDescent="0.2">
      <c r="E48" s="103"/>
    </row>
    <row r="49" spans="5:14" ht="18" customHeight="1" x14ac:dyDescent="0.2">
      <c r="E49" s="103"/>
    </row>
    <row r="50" spans="5:14" ht="18" customHeight="1" x14ac:dyDescent="0.2">
      <c r="E50" s="103"/>
      <c r="L50" s="86"/>
    </row>
    <row r="51" spans="5:14" ht="18" customHeight="1" x14ac:dyDescent="0.2">
      <c r="E51" s="103"/>
      <c r="N51" s="86"/>
    </row>
    <row r="52" spans="5:14" ht="18" customHeight="1" x14ac:dyDescent="0.2">
      <c r="E52" s="103"/>
    </row>
    <row r="53" spans="5:14" ht="18" customHeight="1" x14ac:dyDescent="0.2">
      <c r="K53" s="87"/>
    </row>
    <row r="54" spans="5:14" ht="18" customHeight="1" x14ac:dyDescent="0.2">
      <c r="K54" s="87"/>
    </row>
    <row r="55" spans="5:14" ht="18" customHeight="1" x14ac:dyDescent="0.2">
      <c r="K55" s="87"/>
    </row>
    <row r="56" spans="5:14" ht="18" customHeight="1" x14ac:dyDescent="0.2">
      <c r="K56" s="87"/>
    </row>
    <row r="57" spans="5:14" ht="18" customHeight="1" x14ac:dyDescent="0.2">
      <c r="K57" s="87"/>
    </row>
  </sheetData>
  <autoFilter ref="A10:Q10" xr:uid="{00000000-0009-0000-0000-000000000000}"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106"/>
  <sheetViews>
    <sheetView topLeftCell="A7" workbookViewId="0">
      <selection activeCell="E18" sqref="E18"/>
    </sheetView>
  </sheetViews>
  <sheetFormatPr baseColWidth="10" defaultColWidth="12" defaultRowHeight="10.199999999999999" x14ac:dyDescent="0.2"/>
  <cols>
    <col min="1" max="2" width="10.140625" style="15" customWidth="1"/>
    <col min="3" max="3" width="66" style="3" customWidth="1"/>
    <col min="4" max="4" width="12.85546875" style="16" customWidth="1"/>
    <col min="5" max="5" width="12.85546875" style="1" customWidth="1"/>
    <col min="6" max="6" width="15.28515625" style="5" customWidth="1"/>
    <col min="7" max="7" width="19.42578125" style="5" customWidth="1"/>
    <col min="8" max="8" width="11.42578125" style="15" customWidth="1"/>
    <col min="9" max="10" width="12" style="15"/>
    <col min="11" max="11" width="17.7109375" style="15" customWidth="1"/>
    <col min="12" max="16384" width="12" style="15"/>
  </cols>
  <sheetData>
    <row r="1" spans="1:16" ht="47.25" customHeight="1" x14ac:dyDescent="0.2">
      <c r="A1" s="18"/>
      <c r="F1" s="1"/>
      <c r="G1" s="1"/>
    </row>
    <row r="2" spans="1:16" ht="12" x14ac:dyDescent="0.2">
      <c r="A2" s="20"/>
      <c r="F2" s="1"/>
      <c r="G2" s="1"/>
    </row>
    <row r="3" spans="1:16" x14ac:dyDescent="0.2">
      <c r="F3" s="1"/>
      <c r="G3" s="1"/>
    </row>
    <row r="4" spans="1:16" x14ac:dyDescent="0.2">
      <c r="A4" s="15" t="s">
        <v>0</v>
      </c>
      <c r="B4" s="15" t="str">
        <f>+'Análisis de precios'!B4</f>
        <v>Ing. Slucky - ANEA INGENIEROS SA   CUIT 30714427152</v>
      </c>
      <c r="C4" s="15"/>
      <c r="H4" s="7"/>
      <c r="I4" s="5"/>
      <c r="J4" s="5"/>
      <c r="K4" s="19"/>
      <c r="L4" s="19"/>
      <c r="M4" s="16"/>
      <c r="N4" s="16"/>
      <c r="O4" s="16"/>
      <c r="P4" s="16"/>
    </row>
    <row r="5" spans="1:16" x14ac:dyDescent="0.2">
      <c r="A5" s="15" t="s">
        <v>1</v>
      </c>
      <c r="B5" s="15" t="str">
        <f>+'Análisis de precios'!B5</f>
        <v>EDIFICIO CALLE TUCUMAN 1332</v>
      </c>
      <c r="C5" s="15"/>
      <c r="H5" s="7"/>
      <c r="I5" s="5"/>
      <c r="J5" s="5"/>
      <c r="K5" s="19"/>
      <c r="L5" s="19"/>
      <c r="M5" s="16"/>
      <c r="N5" s="16"/>
      <c r="O5" s="16"/>
      <c r="P5" s="16"/>
    </row>
    <row r="6" spans="1:16" x14ac:dyDescent="0.2">
      <c r="A6" s="15" t="s">
        <v>3</v>
      </c>
      <c r="B6" s="62">
        <f>+'Análisis de precios'!B6</f>
        <v>45961</v>
      </c>
      <c r="C6" s="15"/>
      <c r="H6" s="7"/>
      <c r="I6" s="5"/>
      <c r="J6" s="5"/>
      <c r="K6" s="19"/>
      <c r="L6" s="19"/>
      <c r="M6" s="16"/>
      <c r="N6" s="16"/>
      <c r="O6" s="16"/>
      <c r="P6" s="16"/>
    </row>
    <row r="7" spans="1:16" x14ac:dyDescent="0.2">
      <c r="A7" s="15" t="s">
        <v>4</v>
      </c>
      <c r="B7" s="15">
        <f>+'Análisis de precios'!B7</f>
        <v>0</v>
      </c>
      <c r="H7" s="7"/>
      <c r="I7" s="5"/>
      <c r="J7" s="5"/>
      <c r="K7" s="19"/>
      <c r="L7" s="19"/>
      <c r="M7" s="16"/>
      <c r="N7" s="16"/>
      <c r="O7" s="16"/>
      <c r="P7" s="16"/>
    </row>
    <row r="8" spans="1:16" s="39" customFormat="1" ht="18" customHeight="1" x14ac:dyDescent="0.2">
      <c r="A8" s="15" t="s">
        <v>5</v>
      </c>
      <c r="B8" s="15"/>
      <c r="C8" s="15"/>
      <c r="D8" s="36"/>
      <c r="E8" s="37"/>
      <c r="F8" s="32"/>
      <c r="G8" s="32"/>
      <c r="H8" s="32"/>
      <c r="I8" s="32"/>
      <c r="J8" s="32"/>
      <c r="K8" s="21"/>
      <c r="L8" s="21"/>
      <c r="M8" s="38"/>
      <c r="N8" s="30"/>
      <c r="O8" s="31"/>
      <c r="P8" s="31"/>
    </row>
    <row r="10" spans="1:16" s="3" customFormat="1" ht="36.75" customHeight="1" x14ac:dyDescent="0.2">
      <c r="A10" s="2" t="s">
        <v>6</v>
      </c>
      <c r="B10" s="2" t="s">
        <v>52</v>
      </c>
      <c r="C10" s="3" t="s">
        <v>53</v>
      </c>
      <c r="D10" s="2" t="s">
        <v>9</v>
      </c>
      <c r="E10" s="6" t="s">
        <v>10</v>
      </c>
      <c r="F10" s="7" t="s">
        <v>54</v>
      </c>
      <c r="G10" s="7" t="s">
        <v>55</v>
      </c>
    </row>
    <row r="11" spans="1:16" ht="18" customHeight="1" x14ac:dyDescent="0.2">
      <c r="A11" s="8" t="s">
        <v>56</v>
      </c>
      <c r="B11" s="8"/>
      <c r="C11" s="9" t="s">
        <v>57</v>
      </c>
      <c r="D11" s="10"/>
      <c r="E11" s="11"/>
      <c r="F11" s="12"/>
      <c r="G11" s="13">
        <f>SUM(G12:G14)</f>
        <v>8575147.0051999986</v>
      </c>
    </row>
    <row r="12" spans="1:16" ht="18" customHeight="1" x14ac:dyDescent="0.2">
      <c r="A12" s="14" t="s">
        <v>56</v>
      </c>
      <c r="B12" s="14" t="s">
        <v>56</v>
      </c>
      <c r="C12" s="3" t="s">
        <v>58</v>
      </c>
      <c r="D12" s="16" t="s">
        <v>59</v>
      </c>
      <c r="E12" s="1">
        <v>1</v>
      </c>
      <c r="F12" s="5">
        <f>(SUMIF('Análisis de precios'!$A$9:$A$42,"MAT",'Análisis de precios'!$P$9:$P$42))</f>
        <v>3262468.8</v>
      </c>
      <c r="G12" s="5">
        <f>+E12*F12</f>
        <v>3262468.8</v>
      </c>
      <c r="I12" s="66"/>
      <c r="J12" s="66"/>
    </row>
    <row r="13" spans="1:16" ht="18" customHeight="1" x14ac:dyDescent="0.2">
      <c r="A13" s="14" t="s">
        <v>56</v>
      </c>
      <c r="B13" s="14" t="s">
        <v>60</v>
      </c>
      <c r="C13" s="3" t="s">
        <v>61</v>
      </c>
      <c r="D13" s="16" t="s">
        <v>59</v>
      </c>
      <c r="E13" s="1">
        <v>1</v>
      </c>
      <c r="F13" s="5">
        <f>SUMIF('Análisis de precios'!$A$9:$A$42,"MO",'Análisis de precios'!$P$9:$P$42)</f>
        <v>5312671.9551999997</v>
      </c>
      <c r="G13" s="5">
        <f>+E13*F13</f>
        <v>5312671.9551999997</v>
      </c>
      <c r="I13" s="66"/>
      <c r="J13" s="66"/>
    </row>
    <row r="14" spans="1:16" ht="18" customHeight="1" x14ac:dyDescent="0.2">
      <c r="A14" s="14" t="s">
        <v>56</v>
      </c>
      <c r="B14" s="14" t="s">
        <v>62</v>
      </c>
      <c r="C14" s="3" t="s">
        <v>42</v>
      </c>
      <c r="D14" s="16" t="s">
        <v>59</v>
      </c>
      <c r="E14" s="1">
        <v>1</v>
      </c>
      <c r="F14" s="5">
        <f>SUMIF('Análisis de precios'!$A$9:$A$42,"EQUIPOS",'Análisis de precios'!$P$9:$P$42)</f>
        <v>6.25</v>
      </c>
      <c r="G14" s="5">
        <f>+E14*F14</f>
        <v>6.25</v>
      </c>
    </row>
    <row r="15" spans="1:16" ht="18" customHeight="1" x14ac:dyDescent="0.2">
      <c r="A15" s="14"/>
      <c r="B15" s="14"/>
    </row>
    <row r="16" spans="1:16" ht="18" customHeight="1" x14ac:dyDescent="0.2">
      <c r="A16" s="8" t="s">
        <v>60</v>
      </c>
      <c r="B16" s="8"/>
      <c r="C16" s="9" t="s">
        <v>63</v>
      </c>
      <c r="D16" s="10"/>
      <c r="E16" s="11"/>
      <c r="F16" s="12"/>
      <c r="G16" s="13">
        <f>SUM(G17:G67)</f>
        <v>2608649.6255999999</v>
      </c>
      <c r="H16" s="33">
        <f>G16/G11</f>
        <v>0.30421048455707006</v>
      </c>
    </row>
    <row r="17" spans="1:7" ht="18" customHeight="1" x14ac:dyDescent="0.2">
      <c r="B17" s="14"/>
      <c r="C17" s="15" t="s">
        <v>64</v>
      </c>
      <c r="D17" s="16" t="s">
        <v>65</v>
      </c>
      <c r="E17" s="1">
        <v>1</v>
      </c>
      <c r="F17" s="5">
        <v>1450000</v>
      </c>
      <c r="G17" s="32">
        <f>E17*F17</f>
        <v>1450000</v>
      </c>
    </row>
    <row r="18" spans="1:7" ht="18" customHeight="1" x14ac:dyDescent="0.2">
      <c r="B18" s="14"/>
      <c r="C18" s="15" t="s">
        <v>66</v>
      </c>
      <c r="D18" s="16" t="s">
        <v>65</v>
      </c>
      <c r="F18" s="5">
        <v>1750000</v>
      </c>
      <c r="G18" s="32">
        <f>E18*F18</f>
        <v>0</v>
      </c>
    </row>
    <row r="19" spans="1:7" ht="18" customHeight="1" x14ac:dyDescent="0.2">
      <c r="B19" s="14"/>
      <c r="C19" s="15" t="s">
        <v>67</v>
      </c>
      <c r="D19" s="16" t="s">
        <v>65</v>
      </c>
      <c r="F19" s="5">
        <v>1350001</v>
      </c>
      <c r="G19" s="32">
        <f>E19*F19</f>
        <v>0</v>
      </c>
    </row>
    <row r="20" spans="1:7" ht="18" customHeight="1" x14ac:dyDescent="0.2">
      <c r="B20" s="14"/>
      <c r="C20" s="15" t="s">
        <v>68</v>
      </c>
      <c r="D20" s="16" t="s">
        <v>65</v>
      </c>
      <c r="F20" s="5">
        <v>1750000</v>
      </c>
      <c r="G20" s="32">
        <f>E20*F20</f>
        <v>0</v>
      </c>
    </row>
    <row r="21" spans="1:7" ht="18" customHeight="1" x14ac:dyDescent="0.2">
      <c r="A21" s="14"/>
      <c r="B21" s="14"/>
      <c r="C21" s="3" t="s">
        <v>69</v>
      </c>
      <c r="D21" s="16" t="s">
        <v>70</v>
      </c>
      <c r="E21" s="1">
        <v>0</v>
      </c>
      <c r="F21" s="5">
        <v>100000</v>
      </c>
      <c r="G21" s="32">
        <f t="shared" ref="G21:G67" si="0">E21*F21</f>
        <v>0</v>
      </c>
    </row>
    <row r="22" spans="1:7" ht="18" customHeight="1" x14ac:dyDescent="0.2">
      <c r="A22" s="14"/>
      <c r="B22" s="14"/>
      <c r="C22" s="3" t="s">
        <v>71</v>
      </c>
      <c r="D22" s="16" t="s">
        <v>70</v>
      </c>
      <c r="E22" s="1">
        <v>0</v>
      </c>
      <c r="F22" s="5">
        <v>65000</v>
      </c>
      <c r="G22" s="32">
        <f t="shared" si="0"/>
        <v>0</v>
      </c>
    </row>
    <row r="23" spans="1:7" ht="18" customHeight="1" x14ac:dyDescent="0.2">
      <c r="A23" s="14"/>
      <c r="B23" s="14"/>
      <c r="C23" s="3" t="s">
        <v>72</v>
      </c>
      <c r="D23" s="16" t="s">
        <v>73</v>
      </c>
      <c r="E23" s="16">
        <v>300</v>
      </c>
      <c r="F23" s="5">
        <v>150</v>
      </c>
      <c r="G23" s="32">
        <f t="shared" si="0"/>
        <v>45000</v>
      </c>
    </row>
    <row r="24" spans="1:7" ht="18" customHeight="1" x14ac:dyDescent="0.2">
      <c r="A24" s="14"/>
      <c r="B24" s="14"/>
      <c r="C24" s="3" t="s">
        <v>74</v>
      </c>
      <c r="D24" s="16" t="s">
        <v>75</v>
      </c>
      <c r="E24" s="16">
        <v>300</v>
      </c>
      <c r="F24" s="5">
        <v>150</v>
      </c>
      <c r="G24" s="32">
        <f t="shared" si="0"/>
        <v>45000</v>
      </c>
    </row>
    <row r="25" spans="1:7" ht="18" customHeight="1" x14ac:dyDescent="0.2">
      <c r="A25" s="14"/>
      <c r="B25" s="14"/>
      <c r="C25" s="3" t="s">
        <v>76</v>
      </c>
      <c r="D25" s="16" t="s">
        <v>77</v>
      </c>
      <c r="E25" s="1">
        <v>0</v>
      </c>
      <c r="F25" s="5">
        <v>1500</v>
      </c>
      <c r="G25" s="32">
        <f t="shared" si="0"/>
        <v>0</v>
      </c>
    </row>
    <row r="26" spans="1:7" ht="18" customHeight="1" x14ac:dyDescent="0.2">
      <c r="A26" s="14"/>
      <c r="B26" s="14"/>
      <c r="C26" s="3" t="s">
        <v>78</v>
      </c>
      <c r="D26" s="16" t="s">
        <v>59</v>
      </c>
      <c r="E26" s="1">
        <v>30</v>
      </c>
      <c r="F26" s="5">
        <v>3000</v>
      </c>
      <c r="G26" s="32">
        <f t="shared" si="0"/>
        <v>90000</v>
      </c>
    </row>
    <row r="27" spans="1:7" ht="18" customHeight="1" x14ac:dyDescent="0.2">
      <c r="A27" s="14"/>
      <c r="B27" s="14"/>
      <c r="C27" s="3" t="s">
        <v>79</v>
      </c>
      <c r="D27" s="16" t="s">
        <v>59</v>
      </c>
      <c r="E27" s="1">
        <v>0</v>
      </c>
      <c r="F27" s="5">
        <v>20000</v>
      </c>
      <c r="G27" s="32">
        <f t="shared" si="0"/>
        <v>0</v>
      </c>
    </row>
    <row r="28" spans="1:7" ht="18" customHeight="1" x14ac:dyDescent="0.2">
      <c r="A28" s="14"/>
      <c r="B28" s="14"/>
      <c r="C28" s="3" t="s">
        <v>80</v>
      </c>
      <c r="D28" s="16" t="s">
        <v>65</v>
      </c>
      <c r="E28" s="1">
        <v>0</v>
      </c>
      <c r="F28" s="5">
        <v>20000</v>
      </c>
      <c r="G28" s="32">
        <f t="shared" si="0"/>
        <v>0</v>
      </c>
    </row>
    <row r="29" spans="1:7" ht="18" customHeight="1" x14ac:dyDescent="0.2">
      <c r="A29" s="14"/>
      <c r="B29" s="14"/>
      <c r="C29" s="3" t="s">
        <v>81</v>
      </c>
      <c r="D29" s="16" t="s">
        <v>82</v>
      </c>
      <c r="E29" s="1">
        <v>0.3</v>
      </c>
      <c r="F29" s="5">
        <v>85000</v>
      </c>
      <c r="G29" s="32">
        <f t="shared" si="0"/>
        <v>25500</v>
      </c>
    </row>
    <row r="30" spans="1:7" ht="18" customHeight="1" x14ac:dyDescent="0.2">
      <c r="A30" s="14"/>
      <c r="B30" s="14"/>
      <c r="G30" s="32"/>
    </row>
    <row r="31" spans="1:7" ht="18" customHeight="1" x14ac:dyDescent="0.2">
      <c r="A31" s="14"/>
      <c r="B31" s="14"/>
      <c r="C31" s="3" t="s">
        <v>83</v>
      </c>
      <c r="D31" s="16" t="s">
        <v>84</v>
      </c>
      <c r="E31" s="1">
        <v>0</v>
      </c>
      <c r="F31" s="5">
        <v>0</v>
      </c>
      <c r="G31" s="32">
        <f t="shared" si="0"/>
        <v>0</v>
      </c>
    </row>
    <row r="32" spans="1:7" ht="18" customHeight="1" x14ac:dyDescent="0.2">
      <c r="A32" s="14"/>
      <c r="B32" s="14"/>
      <c r="C32" s="3" t="s">
        <v>85</v>
      </c>
      <c r="D32" s="16" t="s">
        <v>84</v>
      </c>
      <c r="E32" s="1">
        <v>0</v>
      </c>
      <c r="F32" s="5">
        <v>0</v>
      </c>
      <c r="G32" s="32">
        <f t="shared" si="0"/>
        <v>0</v>
      </c>
    </row>
    <row r="33" spans="1:7" ht="18" customHeight="1" x14ac:dyDescent="0.2">
      <c r="A33" s="14"/>
      <c r="B33" s="14"/>
      <c r="C33" s="3" t="s">
        <v>86</v>
      </c>
      <c r="D33" s="16" t="s">
        <v>87</v>
      </c>
      <c r="E33" s="1">
        <v>0</v>
      </c>
      <c r="F33" s="5">
        <v>0</v>
      </c>
      <c r="G33" s="32">
        <f t="shared" si="0"/>
        <v>0</v>
      </c>
    </row>
    <row r="34" spans="1:7" ht="18" customHeight="1" x14ac:dyDescent="0.2">
      <c r="A34" s="14"/>
      <c r="B34" s="14"/>
      <c r="C34" s="3" t="s">
        <v>88</v>
      </c>
      <c r="D34" s="16" t="s">
        <v>89</v>
      </c>
      <c r="E34" s="1">
        <v>0</v>
      </c>
      <c r="F34" s="5">
        <v>0</v>
      </c>
      <c r="G34" s="32">
        <f t="shared" si="0"/>
        <v>0</v>
      </c>
    </row>
    <row r="35" spans="1:7" ht="18" customHeight="1" x14ac:dyDescent="0.2">
      <c r="A35" s="14"/>
      <c r="B35" s="14"/>
      <c r="C35" s="3" t="s">
        <v>90</v>
      </c>
      <c r="D35" s="16" t="s">
        <v>77</v>
      </c>
      <c r="E35" s="1">
        <v>0</v>
      </c>
      <c r="F35" s="5">
        <v>0</v>
      </c>
      <c r="G35" s="32">
        <f t="shared" si="0"/>
        <v>0</v>
      </c>
    </row>
    <row r="36" spans="1:7" ht="18" customHeight="1" x14ac:dyDescent="0.2">
      <c r="A36" s="14"/>
      <c r="B36" s="14"/>
      <c r="C36" s="3" t="s">
        <v>78</v>
      </c>
      <c r="D36" s="16" t="s">
        <v>59</v>
      </c>
      <c r="E36" s="1">
        <v>0</v>
      </c>
      <c r="F36" s="5">
        <v>0</v>
      </c>
      <c r="G36" s="32">
        <f t="shared" si="0"/>
        <v>0</v>
      </c>
    </row>
    <row r="37" spans="1:7" ht="18" customHeight="1" x14ac:dyDescent="0.2">
      <c r="A37" s="14"/>
      <c r="B37" s="14"/>
      <c r="C37" s="3" t="s">
        <v>91</v>
      </c>
      <c r="D37" s="16" t="s">
        <v>92</v>
      </c>
      <c r="E37" s="1">
        <v>0</v>
      </c>
      <c r="F37" s="5">
        <v>20000</v>
      </c>
      <c r="G37" s="32">
        <f t="shared" si="0"/>
        <v>0</v>
      </c>
    </row>
    <row r="38" spans="1:7" ht="18" customHeight="1" x14ac:dyDescent="0.2">
      <c r="A38" s="14"/>
      <c r="B38" s="14"/>
      <c r="C38" s="3" t="s">
        <v>93</v>
      </c>
      <c r="D38" s="16" t="s">
        <v>82</v>
      </c>
      <c r="E38" s="1">
        <v>2</v>
      </c>
      <c r="F38" s="5">
        <f>+(16000+16000+20000+35000)/2+2*3500+6500</f>
        <v>57000</v>
      </c>
      <c r="G38" s="32">
        <f t="shared" si="0"/>
        <v>114000</v>
      </c>
    </row>
    <row r="39" spans="1:7" ht="18" customHeight="1" x14ac:dyDescent="0.2">
      <c r="A39" s="14"/>
      <c r="B39" s="14"/>
      <c r="G39" s="32"/>
    </row>
    <row r="40" spans="1:7" ht="18" customHeight="1" x14ac:dyDescent="0.2">
      <c r="A40" s="14"/>
      <c r="B40" s="14"/>
      <c r="C40" s="3" t="s">
        <v>94</v>
      </c>
      <c r="D40" s="16" t="s">
        <v>59</v>
      </c>
      <c r="E40" s="1">
        <v>1</v>
      </c>
      <c r="F40" s="5">
        <v>200000</v>
      </c>
      <c r="G40" s="32">
        <f t="shared" si="0"/>
        <v>200000</v>
      </c>
    </row>
    <row r="41" spans="1:7" ht="18" customHeight="1" x14ac:dyDescent="0.2">
      <c r="A41" s="14"/>
      <c r="B41" s="14"/>
      <c r="C41" s="3" t="s">
        <v>95</v>
      </c>
      <c r="D41" s="16" t="s">
        <v>59</v>
      </c>
      <c r="E41" s="1">
        <v>3</v>
      </c>
      <c r="F41" s="5">
        <v>200000</v>
      </c>
      <c r="G41" s="32">
        <f t="shared" si="0"/>
        <v>600000</v>
      </c>
    </row>
    <row r="42" spans="1:7" ht="18" customHeight="1" x14ac:dyDescent="0.2">
      <c r="A42" s="14"/>
      <c r="B42" s="14"/>
      <c r="C42" s="3" t="s">
        <v>96</v>
      </c>
      <c r="D42" s="16" t="s">
        <v>59</v>
      </c>
      <c r="E42" s="1">
        <v>0</v>
      </c>
      <c r="F42" s="5">
        <v>50000</v>
      </c>
      <c r="G42" s="32">
        <f t="shared" si="0"/>
        <v>0</v>
      </c>
    </row>
    <row r="43" spans="1:7" ht="18" customHeight="1" x14ac:dyDescent="0.2">
      <c r="A43" s="14"/>
      <c r="B43" s="14"/>
      <c r="G43" s="32"/>
    </row>
    <row r="44" spans="1:7" ht="18" customHeight="1" x14ac:dyDescent="0.2">
      <c r="A44" s="14"/>
      <c r="B44" s="14"/>
      <c r="C44" s="3" t="s">
        <v>97</v>
      </c>
      <c r="D44" s="16" t="s">
        <v>87</v>
      </c>
      <c r="F44" s="5">
        <v>0</v>
      </c>
      <c r="G44" s="32">
        <f t="shared" si="0"/>
        <v>0</v>
      </c>
    </row>
    <row r="45" spans="1:7" ht="18" customHeight="1" x14ac:dyDescent="0.2">
      <c r="A45" s="14"/>
      <c r="B45" s="14"/>
      <c r="C45" s="3" t="s">
        <v>98</v>
      </c>
      <c r="D45" s="16" t="s">
        <v>87</v>
      </c>
      <c r="E45" s="1">
        <v>0</v>
      </c>
      <c r="F45" s="5">
        <v>0</v>
      </c>
      <c r="G45" s="32">
        <f>E45*F45</f>
        <v>0</v>
      </c>
    </row>
    <row r="46" spans="1:7" ht="18" customHeight="1" x14ac:dyDescent="0.2">
      <c r="A46" s="14"/>
      <c r="B46" s="14"/>
      <c r="C46" s="3" t="s">
        <v>99</v>
      </c>
      <c r="D46" s="16" t="s">
        <v>87</v>
      </c>
      <c r="E46" s="1">
        <v>0</v>
      </c>
      <c r="F46" s="5">
        <v>0</v>
      </c>
      <c r="G46" s="32">
        <f>E46*F46</f>
        <v>0</v>
      </c>
    </row>
    <row r="47" spans="1:7" ht="18" customHeight="1" x14ac:dyDescent="0.2">
      <c r="A47" s="14"/>
      <c r="B47" s="14"/>
      <c r="C47" s="3" t="s">
        <v>100</v>
      </c>
      <c r="G47" s="32"/>
    </row>
    <row r="48" spans="1:7" ht="18" customHeight="1" x14ac:dyDescent="0.2">
      <c r="A48" s="14"/>
      <c r="B48" s="14"/>
      <c r="C48" s="3" t="s">
        <v>101</v>
      </c>
      <c r="D48" s="16" t="s">
        <v>65</v>
      </c>
      <c r="E48" s="1">
        <v>0</v>
      </c>
      <c r="F48" s="5">
        <v>130000</v>
      </c>
      <c r="G48" s="32">
        <f>E48*F48</f>
        <v>0</v>
      </c>
    </row>
    <row r="49" spans="1:7" ht="18" customHeight="1" x14ac:dyDescent="0.2">
      <c r="A49" s="14"/>
      <c r="B49" s="14"/>
      <c r="C49" s="3" t="s">
        <v>102</v>
      </c>
      <c r="D49" s="16" t="s">
        <v>103</v>
      </c>
      <c r="E49" s="1">
        <v>0</v>
      </c>
      <c r="F49" s="5">
        <v>0</v>
      </c>
      <c r="G49" s="32">
        <f t="shared" si="0"/>
        <v>0</v>
      </c>
    </row>
    <row r="50" spans="1:7" ht="18" customHeight="1" x14ac:dyDescent="0.2">
      <c r="A50" s="14"/>
      <c r="B50" s="14"/>
      <c r="C50" s="3" t="s">
        <v>104</v>
      </c>
      <c r="D50" s="16" t="s">
        <v>103</v>
      </c>
      <c r="E50" s="1">
        <v>0</v>
      </c>
      <c r="F50" s="5">
        <v>0</v>
      </c>
      <c r="G50" s="32">
        <f t="shared" si="0"/>
        <v>0</v>
      </c>
    </row>
    <row r="51" spans="1:7" ht="18" customHeight="1" x14ac:dyDescent="0.2">
      <c r="A51" s="14"/>
      <c r="B51" s="14"/>
      <c r="C51" s="3" t="s">
        <v>86</v>
      </c>
      <c r="D51" s="16" t="s">
        <v>103</v>
      </c>
      <c r="E51" s="1">
        <v>0</v>
      </c>
      <c r="F51" s="5">
        <f>9*1100/100</f>
        <v>99</v>
      </c>
      <c r="G51" s="32">
        <f t="shared" si="0"/>
        <v>0</v>
      </c>
    </row>
    <row r="52" spans="1:7" ht="18" customHeight="1" x14ac:dyDescent="0.2">
      <c r="A52" s="14"/>
      <c r="B52" s="14"/>
      <c r="C52" s="3" t="s">
        <v>105</v>
      </c>
      <c r="D52" s="16" t="s">
        <v>87</v>
      </c>
      <c r="E52" s="1">
        <v>0</v>
      </c>
      <c r="F52" s="5">
        <f>9*1100/100</f>
        <v>99</v>
      </c>
      <c r="G52" s="32">
        <f>E52*F52</f>
        <v>0</v>
      </c>
    </row>
    <row r="53" spans="1:7" ht="18" customHeight="1" x14ac:dyDescent="0.2">
      <c r="A53" s="14"/>
      <c r="B53" s="14"/>
      <c r="C53" s="3" t="s">
        <v>106</v>
      </c>
      <c r="D53" s="16" t="s">
        <v>59</v>
      </c>
      <c r="E53" s="1">
        <v>0</v>
      </c>
      <c r="F53" s="5">
        <v>0</v>
      </c>
      <c r="G53" s="32">
        <f>E53*F53</f>
        <v>0</v>
      </c>
    </row>
    <row r="54" spans="1:7" ht="18" customHeight="1" x14ac:dyDescent="0.2">
      <c r="A54" s="14"/>
      <c r="B54" s="14"/>
      <c r="C54" s="3" t="s">
        <v>78</v>
      </c>
      <c r="D54" s="16" t="s">
        <v>59</v>
      </c>
      <c r="E54" s="1">
        <v>0</v>
      </c>
      <c r="F54" s="5">
        <v>0</v>
      </c>
      <c r="G54" s="32">
        <f t="shared" si="0"/>
        <v>0</v>
      </c>
    </row>
    <row r="55" spans="1:7" ht="18" customHeight="1" x14ac:dyDescent="0.2">
      <c r="A55" s="14"/>
      <c r="B55" s="14"/>
      <c r="C55" s="3" t="s">
        <v>107</v>
      </c>
      <c r="D55" s="16" t="s">
        <v>59</v>
      </c>
      <c r="E55" s="1">
        <v>1.2E-2</v>
      </c>
      <c r="F55" s="5">
        <f>+F12</f>
        <v>3262468.8</v>
      </c>
      <c r="G55" s="32">
        <f t="shared" si="0"/>
        <v>39149.625599999999</v>
      </c>
    </row>
    <row r="56" spans="1:7" ht="18" customHeight="1" x14ac:dyDescent="0.2">
      <c r="A56" s="14"/>
      <c r="B56" s="14"/>
      <c r="G56" s="32">
        <f t="shared" si="0"/>
        <v>0</v>
      </c>
    </row>
    <row r="57" spans="1:7" ht="18" customHeight="1" x14ac:dyDescent="0.2">
      <c r="A57" s="14"/>
      <c r="B57" s="14"/>
      <c r="C57" s="3" t="s">
        <v>108</v>
      </c>
      <c r="D57" s="16" t="s">
        <v>92</v>
      </c>
      <c r="E57" s="1">
        <v>0</v>
      </c>
      <c r="F57" s="5">
        <f>192*3884</f>
        <v>745728</v>
      </c>
      <c r="G57" s="32">
        <f t="shared" si="0"/>
        <v>0</v>
      </c>
    </row>
    <row r="58" spans="1:7" ht="18" customHeight="1" x14ac:dyDescent="0.2">
      <c r="A58" s="14"/>
      <c r="B58" s="14"/>
      <c r="C58" s="3" t="s">
        <v>109</v>
      </c>
      <c r="D58" s="16" t="s">
        <v>103</v>
      </c>
      <c r="E58" s="1">
        <v>0</v>
      </c>
      <c r="F58" s="5">
        <v>0</v>
      </c>
      <c r="G58" s="32">
        <f t="shared" si="0"/>
        <v>0</v>
      </c>
    </row>
    <row r="59" spans="1:7" ht="18" customHeight="1" x14ac:dyDescent="0.2">
      <c r="A59" s="14"/>
      <c r="B59" s="14"/>
      <c r="C59" s="3" t="s">
        <v>110</v>
      </c>
      <c r="D59" s="16" t="s">
        <v>103</v>
      </c>
      <c r="E59" s="1">
        <v>0</v>
      </c>
      <c r="F59" s="5">
        <v>0</v>
      </c>
      <c r="G59" s="32">
        <f t="shared" si="0"/>
        <v>0</v>
      </c>
    </row>
    <row r="60" spans="1:7" ht="18" customHeight="1" x14ac:dyDescent="0.2">
      <c r="A60" s="14"/>
      <c r="B60" s="14"/>
      <c r="C60" s="3" t="s">
        <v>111</v>
      </c>
      <c r="D60" s="16" t="s">
        <v>103</v>
      </c>
      <c r="E60" s="1">
        <v>0</v>
      </c>
      <c r="F60" s="5">
        <v>0</v>
      </c>
      <c r="G60" s="32">
        <f t="shared" si="0"/>
        <v>0</v>
      </c>
    </row>
    <row r="61" spans="1:7" ht="18" customHeight="1" x14ac:dyDescent="0.2">
      <c r="A61" s="14"/>
      <c r="B61" s="14"/>
      <c r="G61" s="32">
        <f t="shared" si="0"/>
        <v>0</v>
      </c>
    </row>
    <row r="62" spans="1:7" ht="18" customHeight="1" x14ac:dyDescent="0.2">
      <c r="A62" s="14"/>
      <c r="B62" s="14"/>
      <c r="C62" s="3" t="s">
        <v>112</v>
      </c>
      <c r="D62" s="16" t="s">
        <v>59</v>
      </c>
      <c r="E62" s="1">
        <v>0</v>
      </c>
      <c r="F62" s="5">
        <v>0</v>
      </c>
      <c r="G62" s="32">
        <f t="shared" si="0"/>
        <v>0</v>
      </c>
    </row>
    <row r="63" spans="1:7" ht="18" customHeight="1" x14ac:dyDescent="0.2">
      <c r="A63" s="14"/>
      <c r="B63" s="14"/>
      <c r="C63" s="3" t="s">
        <v>113</v>
      </c>
      <c r="D63" s="16" t="s">
        <v>59</v>
      </c>
      <c r="E63" s="1">
        <v>0</v>
      </c>
      <c r="F63" s="5">
        <v>0</v>
      </c>
      <c r="G63" s="32">
        <f t="shared" si="0"/>
        <v>0</v>
      </c>
    </row>
    <row r="64" spans="1:7" ht="18" customHeight="1" x14ac:dyDescent="0.2">
      <c r="A64" s="14"/>
      <c r="B64" s="14"/>
      <c r="C64" s="3" t="s">
        <v>114</v>
      </c>
      <c r="D64" s="16" t="s">
        <v>59</v>
      </c>
      <c r="E64" s="1">
        <v>0</v>
      </c>
      <c r="F64" s="5">
        <v>0</v>
      </c>
      <c r="G64" s="32">
        <f t="shared" si="0"/>
        <v>0</v>
      </c>
    </row>
    <row r="65" spans="1:7" ht="18" customHeight="1" x14ac:dyDescent="0.2">
      <c r="A65" s="14"/>
      <c r="B65" s="14"/>
      <c r="C65" s="3" t="s">
        <v>115</v>
      </c>
      <c r="D65" s="16" t="s">
        <v>59</v>
      </c>
      <c r="E65" s="1">
        <v>0</v>
      </c>
      <c r="F65" s="5">
        <v>0</v>
      </c>
      <c r="G65" s="32">
        <f t="shared" si="0"/>
        <v>0</v>
      </c>
    </row>
    <row r="66" spans="1:7" ht="18" customHeight="1" x14ac:dyDescent="0.2">
      <c r="A66" s="14" t="s">
        <v>60</v>
      </c>
      <c r="B66" s="14" t="s">
        <v>56</v>
      </c>
      <c r="C66" s="3" t="s">
        <v>116</v>
      </c>
      <c r="D66" s="16" t="s">
        <v>59</v>
      </c>
      <c r="E66" s="1">
        <v>0</v>
      </c>
      <c r="F66" s="5">
        <v>10000</v>
      </c>
      <c r="G66" s="32">
        <f t="shared" si="0"/>
        <v>0</v>
      </c>
    </row>
    <row r="67" spans="1:7" ht="18" customHeight="1" x14ac:dyDescent="0.2">
      <c r="A67" s="14"/>
      <c r="B67" s="14"/>
      <c r="C67" s="3" t="s">
        <v>117</v>
      </c>
      <c r="D67" s="16" t="s">
        <v>59</v>
      </c>
      <c r="E67" s="1">
        <v>0</v>
      </c>
      <c r="F67" s="5">
        <f>3*G11/100</f>
        <v>257254.41015599997</v>
      </c>
      <c r="G67" s="32">
        <f t="shared" si="0"/>
        <v>0</v>
      </c>
    </row>
    <row r="68" spans="1:7" ht="18" customHeight="1" x14ac:dyDescent="0.2">
      <c r="A68" s="14"/>
      <c r="B68" s="14"/>
    </row>
    <row r="69" spans="1:7" ht="18" customHeight="1" x14ac:dyDescent="0.2">
      <c r="A69" s="8" t="s">
        <v>62</v>
      </c>
      <c r="B69" s="8"/>
      <c r="C69" s="9" t="s">
        <v>118</v>
      </c>
      <c r="D69" s="10"/>
      <c r="E69" s="11"/>
      <c r="F69" s="12"/>
      <c r="G69" s="13">
        <f>+G11+G16</f>
        <v>11183796.630799998</v>
      </c>
    </row>
    <row r="70" spans="1:7" ht="18" customHeight="1" x14ac:dyDescent="0.2">
      <c r="A70" s="14"/>
      <c r="B70" s="14"/>
    </row>
    <row r="71" spans="1:7" ht="18" customHeight="1" x14ac:dyDescent="0.2">
      <c r="A71" s="8" t="s">
        <v>119</v>
      </c>
      <c r="B71" s="8"/>
      <c r="C71" s="9" t="s">
        <v>120</v>
      </c>
      <c r="D71" s="10"/>
      <c r="E71" s="11"/>
      <c r="F71" s="12"/>
      <c r="G71" s="13">
        <f>+G72</f>
        <v>2013083.3935439994</v>
      </c>
    </row>
    <row r="72" spans="1:7" ht="18" customHeight="1" x14ac:dyDescent="0.2">
      <c r="A72" s="14" t="s">
        <v>119</v>
      </c>
      <c r="B72" s="14" t="s">
        <v>56</v>
      </c>
      <c r="C72" s="3" t="s">
        <v>120</v>
      </c>
      <c r="D72" s="16" t="s">
        <v>121</v>
      </c>
      <c r="E72" s="1">
        <v>18</v>
      </c>
      <c r="G72" s="5">
        <f>+(G69*E72/100)</f>
        <v>2013083.3935439994</v>
      </c>
    </row>
    <row r="73" spans="1:7" ht="18" customHeight="1" x14ac:dyDescent="0.2">
      <c r="A73" s="14"/>
      <c r="B73" s="14"/>
    </row>
    <row r="74" spans="1:7" ht="18" customHeight="1" x14ac:dyDescent="0.2">
      <c r="A74" s="8" t="s">
        <v>122</v>
      </c>
      <c r="B74" s="8"/>
      <c r="C74" s="9" t="s">
        <v>123</v>
      </c>
      <c r="D74" s="10"/>
      <c r="E74" s="11"/>
      <c r="F74" s="12"/>
      <c r="G74" s="13">
        <f>+G71+G69</f>
        <v>13196880.024343997</v>
      </c>
    </row>
    <row r="75" spans="1:7" ht="18" customHeight="1" x14ac:dyDescent="0.2">
      <c r="A75" s="14"/>
      <c r="B75" s="14"/>
    </row>
    <row r="76" spans="1:7" ht="18" customHeight="1" x14ac:dyDescent="0.2">
      <c r="A76" s="8" t="s">
        <v>124</v>
      </c>
      <c r="B76" s="8"/>
      <c r="C76" s="9" t="s">
        <v>125</v>
      </c>
      <c r="D76" s="10"/>
      <c r="E76" s="11"/>
      <c r="F76" s="12"/>
      <c r="G76" s="13">
        <f>+G77+G78</f>
        <v>3959064.0073031993</v>
      </c>
    </row>
    <row r="77" spans="1:7" ht="18" customHeight="1" x14ac:dyDescent="0.2">
      <c r="A77" s="14" t="s">
        <v>124</v>
      </c>
      <c r="B77" s="14" t="s">
        <v>56</v>
      </c>
      <c r="C77" s="3" t="s">
        <v>125</v>
      </c>
      <c r="D77" s="16" t="s">
        <v>121</v>
      </c>
      <c r="E77" s="1">
        <v>30</v>
      </c>
      <c r="F77" s="24"/>
      <c r="G77" s="5">
        <f>+G74*E77/100</f>
        <v>3959064.0073031993</v>
      </c>
    </row>
    <row r="78" spans="1:7" ht="18" customHeight="1" x14ac:dyDescent="0.2">
      <c r="A78" s="14" t="s">
        <v>124</v>
      </c>
      <c r="B78" s="14" t="s">
        <v>60</v>
      </c>
      <c r="C78" s="3" t="s">
        <v>126</v>
      </c>
      <c r="D78" s="16" t="s">
        <v>121</v>
      </c>
      <c r="G78" s="5">
        <f>+G74*E78/100</f>
        <v>0</v>
      </c>
    </row>
    <row r="79" spans="1:7" ht="18" customHeight="1" x14ac:dyDescent="0.2">
      <c r="A79" s="14"/>
      <c r="B79" s="14"/>
    </row>
    <row r="80" spans="1:7" ht="18" customHeight="1" x14ac:dyDescent="0.2">
      <c r="A80" s="8" t="s">
        <v>127</v>
      </c>
      <c r="B80" s="8"/>
      <c r="C80" s="9" t="s">
        <v>128</v>
      </c>
      <c r="D80" s="10"/>
      <c r="E80" s="11"/>
      <c r="F80" s="12"/>
      <c r="G80" s="13">
        <f>+G74+G76</f>
        <v>17155944.031647198</v>
      </c>
    </row>
    <row r="81" spans="1:11" ht="18" customHeight="1" x14ac:dyDescent="0.2">
      <c r="A81" s="14"/>
      <c r="B81" s="14"/>
      <c r="J81" s="52" t="s">
        <v>129</v>
      </c>
      <c r="K81" s="53" t="e">
        <f>G80/'Análisis de precios'!#REF!+'Análisis de precios'!#REF!</f>
        <v>#REF!</v>
      </c>
    </row>
    <row r="82" spans="1:11" ht="18" customHeight="1" x14ac:dyDescent="0.2">
      <c r="A82" s="8" t="s">
        <v>130</v>
      </c>
      <c r="B82" s="8"/>
      <c r="C82" s="9" t="s">
        <v>131</v>
      </c>
      <c r="D82" s="10"/>
      <c r="E82" s="11"/>
      <c r="F82" s="12"/>
      <c r="G82" s="13">
        <f>+G83+G84</f>
        <v>428898.60079117998</v>
      </c>
    </row>
    <row r="83" spans="1:11" ht="18" customHeight="1" x14ac:dyDescent="0.2">
      <c r="A83" s="14"/>
      <c r="B83" s="14"/>
      <c r="C83" s="3" t="s">
        <v>132</v>
      </c>
      <c r="D83" s="16" t="s">
        <v>121</v>
      </c>
      <c r="E83" s="1">
        <v>2.5</v>
      </c>
      <c r="G83" s="5">
        <f>+G80*E83/100</f>
        <v>428898.60079117998</v>
      </c>
    </row>
    <row r="84" spans="1:11" ht="18" customHeight="1" x14ac:dyDescent="0.2">
      <c r="A84" s="14"/>
      <c r="B84" s="14"/>
    </row>
    <row r="85" spans="1:11" ht="18" customHeight="1" x14ac:dyDescent="0.2">
      <c r="A85" s="8" t="s">
        <v>130</v>
      </c>
      <c r="B85" s="8"/>
      <c r="C85" s="9" t="s">
        <v>133</v>
      </c>
      <c r="D85" s="10"/>
      <c r="E85" s="11"/>
      <c r="F85" s="12"/>
      <c r="G85" s="13">
        <f>+G80+G82</f>
        <v>17584842.632438377</v>
      </c>
      <c r="H85" s="80">
        <f>G85/G11</f>
        <v>2.050675355393309</v>
      </c>
    </row>
    <row r="86" spans="1:11" ht="18" customHeight="1" x14ac:dyDescent="0.2">
      <c r="A86" s="14"/>
      <c r="B86" s="14"/>
    </row>
    <row r="87" spans="1:11" ht="18" customHeight="1" x14ac:dyDescent="0.2">
      <c r="A87" s="8" t="s">
        <v>130</v>
      </c>
      <c r="B87" s="8"/>
      <c r="C87" s="9" t="s">
        <v>131</v>
      </c>
      <c r="D87" s="10"/>
      <c r="E87" s="11"/>
      <c r="F87" s="12"/>
      <c r="G87" s="13">
        <f>+G88</f>
        <v>3692816.9528120589</v>
      </c>
      <c r="J87" s="56" t="s">
        <v>134</v>
      </c>
      <c r="K87" s="57">
        <f>G90/'Análisis de precios'!E26</f>
        <v>53194.148963126092</v>
      </c>
    </row>
    <row r="88" spans="1:11" ht="18" customHeight="1" x14ac:dyDescent="0.2">
      <c r="A88" s="14"/>
      <c r="B88" s="14"/>
      <c r="C88" s="3" t="s">
        <v>135</v>
      </c>
      <c r="D88" s="16" t="s">
        <v>121</v>
      </c>
      <c r="E88" s="1">
        <v>21</v>
      </c>
      <c r="G88" s="5">
        <f>+G85*E88/100</f>
        <v>3692816.9528120589</v>
      </c>
    </row>
    <row r="89" spans="1:11" ht="18" customHeight="1" x14ac:dyDescent="0.2">
      <c r="A89" s="14"/>
      <c r="B89" s="14"/>
    </row>
    <row r="90" spans="1:11" ht="18" customHeight="1" x14ac:dyDescent="0.2">
      <c r="A90" s="8" t="s">
        <v>136</v>
      </c>
      <c r="B90" s="8"/>
      <c r="C90" s="9" t="s">
        <v>137</v>
      </c>
      <c r="D90" s="10"/>
      <c r="E90" s="11"/>
      <c r="F90" s="12"/>
      <c r="G90" s="13">
        <f>+G85+G87</f>
        <v>21277659.585250437</v>
      </c>
      <c r="H90" s="80">
        <f>G90/G11</f>
        <v>2.4813171800259042</v>
      </c>
    </row>
    <row r="91" spans="1:11" ht="18" customHeight="1" x14ac:dyDescent="0.2">
      <c r="A91" s="14"/>
      <c r="B91" s="14"/>
    </row>
    <row r="92" spans="1:11" ht="18" customHeight="1" x14ac:dyDescent="0.2">
      <c r="A92" s="14"/>
      <c r="B92" s="14"/>
      <c r="F92" s="25"/>
      <c r="G92" s="15"/>
    </row>
    <row r="93" spans="1:11" ht="18" customHeight="1" x14ac:dyDescent="0.2">
      <c r="A93" s="14"/>
      <c r="B93" s="14"/>
      <c r="F93" s="26"/>
      <c r="G93" s="15"/>
    </row>
    <row r="94" spans="1:11" ht="18" customHeight="1" x14ac:dyDescent="0.2">
      <c r="F94" s="25"/>
      <c r="G94" s="15"/>
    </row>
    <row r="95" spans="1:11" ht="18" customHeight="1" x14ac:dyDescent="0.2">
      <c r="F95" s="25"/>
      <c r="G95" s="15"/>
    </row>
    <row r="96" spans="1:11" ht="18" customHeight="1" x14ac:dyDescent="0.2">
      <c r="F96" s="25"/>
      <c r="G96" s="15"/>
    </row>
    <row r="97" spans="6:7" ht="18" customHeight="1" x14ac:dyDescent="0.2">
      <c r="F97" s="25"/>
      <c r="G97" s="15"/>
    </row>
    <row r="98" spans="6:7" ht="18" customHeight="1" x14ac:dyDescent="0.2">
      <c r="F98" s="25"/>
      <c r="G98" s="15"/>
    </row>
    <row r="99" spans="6:7" ht="18" customHeight="1" x14ac:dyDescent="0.2">
      <c r="F99" s="25"/>
      <c r="G99" s="15"/>
    </row>
    <row r="100" spans="6:7" ht="18" customHeight="1" x14ac:dyDescent="0.2">
      <c r="F100" s="25"/>
      <c r="G100" s="15"/>
    </row>
    <row r="101" spans="6:7" ht="18" customHeight="1" x14ac:dyDescent="0.2">
      <c r="F101" s="25"/>
      <c r="G101" s="15"/>
    </row>
    <row r="102" spans="6:7" ht="18" customHeight="1" x14ac:dyDescent="0.2">
      <c r="F102" s="25"/>
      <c r="G102" s="15"/>
    </row>
    <row r="103" spans="6:7" ht="18" customHeight="1" x14ac:dyDescent="0.2"/>
    <row r="104" spans="6:7" ht="18" customHeight="1" x14ac:dyDescent="0.2"/>
    <row r="105" spans="6:7" ht="18" customHeight="1" x14ac:dyDescent="0.2"/>
    <row r="106" spans="6:7" ht="18" customHeight="1" x14ac:dyDescent="0.2"/>
  </sheetData>
  <phoneticPr fontId="4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A49E-4717-4754-B343-8ADFDAD3630A}">
  <sheetPr>
    <tabColor rgb="FF00B050"/>
    <pageSetUpPr fitToPage="1"/>
  </sheetPr>
  <dimension ref="A1:M32"/>
  <sheetViews>
    <sheetView topLeftCell="A6" workbookViewId="0">
      <selection activeCell="Q37" sqref="Q37"/>
    </sheetView>
  </sheetViews>
  <sheetFormatPr baseColWidth="10" defaultColWidth="12" defaultRowHeight="10.199999999999999" x14ac:dyDescent="0.2"/>
  <cols>
    <col min="1" max="1" width="12.85546875" customWidth="1"/>
    <col min="2" max="2" width="12.85546875" style="22" customWidth="1"/>
    <col min="3" max="3" width="45.28515625" customWidth="1"/>
    <col min="4" max="4" width="9.42578125" style="22" customWidth="1"/>
    <col min="5" max="5" width="11.28515625" style="23" customWidth="1"/>
    <col min="6" max="6" width="18.42578125" style="17" hidden="1" customWidth="1"/>
    <col min="7" max="7" width="16.7109375" style="17" customWidth="1"/>
    <col min="8" max="8" width="24" style="22" customWidth="1"/>
    <col min="9" max="9" width="15.7109375" style="16" customWidth="1"/>
    <col min="10" max="10" width="10.85546875" style="16" hidden="1" customWidth="1"/>
    <col min="11" max="11" width="17.7109375" style="22" customWidth="1"/>
    <col min="12" max="12" width="12" style="22"/>
    <col min="14" max="14" width="20.28515625" customWidth="1"/>
  </cols>
  <sheetData>
    <row r="1" spans="1:13" s="15" customFormat="1" ht="44.25" customHeight="1" x14ac:dyDescent="0.2">
      <c r="A1" s="18"/>
      <c r="B1" s="16"/>
      <c r="C1" s="16"/>
      <c r="D1" s="1"/>
      <c r="E1" s="65"/>
      <c r="F1" s="88"/>
      <c r="G1" s="88"/>
      <c r="H1" s="89"/>
      <c r="I1" s="89"/>
      <c r="J1" s="5"/>
      <c r="K1" s="24"/>
      <c r="L1" s="24"/>
      <c r="M1" s="16"/>
    </row>
    <row r="2" spans="1:13" s="15" customFormat="1" ht="12" x14ac:dyDescent="0.2">
      <c r="A2" s="20"/>
      <c r="B2" s="16"/>
      <c r="C2" s="16"/>
      <c r="D2" s="1"/>
      <c r="E2" s="65"/>
      <c r="F2" s="88"/>
      <c r="G2" s="88"/>
      <c r="H2" s="89"/>
      <c r="I2" s="89"/>
      <c r="J2" s="5"/>
      <c r="K2" s="24"/>
      <c r="L2" s="24"/>
      <c r="M2" s="16"/>
    </row>
    <row r="3" spans="1:13" s="15" customFormat="1" x14ac:dyDescent="0.2">
      <c r="B3" s="16"/>
      <c r="D3" s="16"/>
      <c r="E3" s="65"/>
      <c r="F3" s="89"/>
      <c r="G3" s="89"/>
      <c r="H3" s="88"/>
      <c r="I3" s="89"/>
      <c r="J3" s="5"/>
      <c r="K3" s="24"/>
      <c r="L3" s="24"/>
      <c r="M3" s="16"/>
    </row>
    <row r="4" spans="1:13" s="15" customFormat="1" x14ac:dyDescent="0.2">
      <c r="A4" s="15" t="s">
        <v>0</v>
      </c>
      <c r="B4" s="16" t="str">
        <f>+'Análisis de precios'!B4</f>
        <v>Ing. Slucky - ANEA INGENIEROS SA   CUIT 30714427152</v>
      </c>
      <c r="D4" s="16"/>
      <c r="E4" s="65"/>
      <c r="F4" s="89"/>
      <c r="G4" s="89"/>
      <c r="H4" s="88"/>
      <c r="I4" s="89"/>
      <c r="J4" s="5"/>
      <c r="K4" s="24"/>
      <c r="L4" s="24"/>
      <c r="M4" s="16"/>
    </row>
    <row r="5" spans="1:13" s="15" customFormat="1" x14ac:dyDescent="0.2">
      <c r="A5" s="15" t="s">
        <v>1</v>
      </c>
      <c r="B5" s="16" t="str">
        <f>+'Análisis de precios'!B5</f>
        <v>EDIFICIO CALLE TUCUMAN 1332</v>
      </c>
      <c r="D5" s="16"/>
      <c r="E5" s="65"/>
      <c r="F5" s="89"/>
      <c r="G5" s="89"/>
      <c r="H5" s="88"/>
      <c r="I5" s="89"/>
      <c r="J5" s="5"/>
      <c r="K5" s="24"/>
      <c r="L5" s="24"/>
      <c r="M5" s="16"/>
    </row>
    <row r="6" spans="1:13" s="15" customFormat="1" x14ac:dyDescent="0.2">
      <c r="A6" s="15" t="s">
        <v>3</v>
      </c>
      <c r="B6" s="137">
        <f>+'Análisis de precios'!B6</f>
        <v>45961</v>
      </c>
      <c r="D6" s="16"/>
      <c r="E6" s="65"/>
      <c r="F6" s="89"/>
      <c r="G6" s="89"/>
      <c r="H6" s="88"/>
      <c r="I6" s="89"/>
      <c r="J6" s="5"/>
      <c r="K6" s="24"/>
      <c r="L6" s="24"/>
      <c r="M6" s="16"/>
    </row>
    <row r="7" spans="1:13" s="39" customFormat="1" ht="18" customHeight="1" x14ac:dyDescent="0.2">
      <c r="A7" s="15" t="s">
        <v>4</v>
      </c>
      <c r="B7" s="16"/>
      <c r="C7" s="3"/>
      <c r="D7" s="16"/>
      <c r="E7" s="65"/>
      <c r="F7" s="89"/>
      <c r="G7" s="89"/>
      <c r="H7" s="88"/>
      <c r="I7" s="89"/>
      <c r="J7" s="5"/>
      <c r="K7" s="24"/>
      <c r="L7" s="24"/>
      <c r="M7" s="16"/>
    </row>
    <row r="8" spans="1:13" s="15" customFormat="1" x14ac:dyDescent="0.2">
      <c r="A8" s="15" t="s">
        <v>5</v>
      </c>
      <c r="B8" s="16"/>
      <c r="D8" s="36"/>
      <c r="E8" s="99"/>
      <c r="F8" s="90"/>
      <c r="G8" s="90"/>
      <c r="H8" s="90"/>
      <c r="I8" s="90"/>
      <c r="J8" s="32"/>
      <c r="K8" s="21"/>
      <c r="L8" s="21"/>
      <c r="M8" s="38"/>
    </row>
    <row r="9" spans="1:13" s="38" customFormat="1" ht="26.25" customHeight="1" x14ac:dyDescent="0.2">
      <c r="A9" s="15"/>
      <c r="B9" s="16"/>
      <c r="C9" s="3"/>
      <c r="D9" s="16"/>
      <c r="E9" s="65"/>
      <c r="F9" s="89"/>
      <c r="G9" s="89"/>
      <c r="H9" s="88"/>
      <c r="I9" s="89"/>
      <c r="J9" s="5"/>
      <c r="K9" s="24"/>
      <c r="L9" s="24"/>
      <c r="M9" s="16"/>
    </row>
    <row r="10" spans="1:13" s="38" customFormat="1" ht="21.75" hidden="1" customHeight="1" x14ac:dyDescent="0.2">
      <c r="A10" s="122" t="s">
        <v>6</v>
      </c>
      <c r="B10" s="122" t="s">
        <v>7</v>
      </c>
      <c r="C10" s="135" t="s">
        <v>8</v>
      </c>
      <c r="D10" s="123" t="s">
        <v>9</v>
      </c>
      <c r="E10" s="124" t="s">
        <v>10</v>
      </c>
      <c r="F10" s="125"/>
      <c r="G10" s="125" t="s">
        <v>11</v>
      </c>
      <c r="H10" s="125" t="s">
        <v>12</v>
      </c>
      <c r="I10" s="125" t="s">
        <v>13</v>
      </c>
      <c r="J10" s="126"/>
      <c r="K10" s="127" t="s">
        <v>14</v>
      </c>
      <c r="L10" s="127" t="s">
        <v>15</v>
      </c>
    </row>
    <row r="11" spans="1:13" ht="20.399999999999999" hidden="1" customHeight="1" x14ac:dyDescent="0.2">
      <c r="A11" s="105" t="s">
        <v>139</v>
      </c>
      <c r="B11" s="134">
        <v>1</v>
      </c>
      <c r="C11" s="136" t="s">
        <v>144</v>
      </c>
      <c r="D11" s="105"/>
      <c r="E11" s="106"/>
      <c r="F11" s="107"/>
      <c r="G11" s="107"/>
      <c r="H11" s="107"/>
      <c r="I11" s="130">
        <f>SUM(H12:H17)</f>
        <v>17584842.63243838</v>
      </c>
      <c r="J11" s="108"/>
      <c r="K11" s="108"/>
      <c r="L11" s="131">
        <f>+I11/I19</f>
        <v>1</v>
      </c>
      <c r="M11" s="109">
        <f>+I11/E23</f>
        <v>43962.106581095948</v>
      </c>
    </row>
    <row r="12" spans="1:13" ht="18" hidden="1" customHeight="1" x14ac:dyDescent="0.2">
      <c r="A12" s="76"/>
      <c r="B12" s="77">
        <v>1.1000000000000001</v>
      </c>
      <c r="C12" s="78" t="str">
        <f>+'Análisis de precios'!C11</f>
        <v>Armado y desarmado de Balancin exterior</v>
      </c>
      <c r="D12" s="79" t="str">
        <f>+'Análisis de precios'!D11</f>
        <v>UNIDAD</v>
      </c>
      <c r="E12" s="79">
        <f>+'Análisis de precios'!E11</f>
        <v>4</v>
      </c>
      <c r="F12" s="109"/>
      <c r="G12" s="109">
        <f>+'Análisis de precios'!G11*Cascada!H90/1.21</f>
        <v>395910.93059754011</v>
      </c>
      <c r="H12" s="109">
        <f t="shared" ref="H12:H17" si="0">+E12*G12</f>
        <v>1583643.7223901604</v>
      </c>
      <c r="I12" s="110"/>
      <c r="J12" s="111"/>
      <c r="K12" s="112">
        <f>+H12/$I$19</f>
        <v>9.0057315580910971E-2</v>
      </c>
      <c r="L12" s="81"/>
      <c r="M12" s="39"/>
    </row>
    <row r="13" spans="1:13" ht="15.6" hidden="1" customHeight="1" x14ac:dyDescent="0.2">
      <c r="A13" s="76"/>
      <c r="B13" s="77">
        <v>1.2</v>
      </c>
      <c r="C13" s="78" t="str">
        <f>+'Análisis de precios'!C15</f>
        <v>Colocación De Puente De Adherencia Exterior</v>
      </c>
      <c r="D13" s="79" t="str">
        <f>+'Análisis de precios'!D15</f>
        <v>M2</v>
      </c>
      <c r="E13" s="79">
        <f>+'Análisis de precios'!E15</f>
        <v>40</v>
      </c>
      <c r="F13" s="109"/>
      <c r="G13" s="109">
        <f>+'Análisis de precios'!G15*Cascada!H90/1.21</f>
        <v>6485.2591708910559</v>
      </c>
      <c r="H13" s="109">
        <f t="shared" si="0"/>
        <v>259410.36683564223</v>
      </c>
      <c r="I13" s="110"/>
      <c r="J13" s="111"/>
      <c r="K13" s="112">
        <f t="shared" ref="K13:K17" si="1">+H13/$I$19</f>
        <v>1.4751929957969229E-2</v>
      </c>
      <c r="L13" s="81"/>
      <c r="M13" s="39"/>
    </row>
    <row r="14" spans="1:13" ht="14.4" hidden="1" customHeight="1" x14ac:dyDescent="0.2">
      <c r="A14" s="76"/>
      <c r="B14" s="77">
        <v>1.3</v>
      </c>
      <c r="C14" s="78" t="str">
        <f>+'Análisis de precios'!C19</f>
        <v>Enchape Sobre Estructura De hormigón Exterior</v>
      </c>
      <c r="D14" s="79" t="str">
        <f>+'Análisis de precios'!D19</f>
        <v>M2</v>
      </c>
      <c r="E14" s="79">
        <f>+'Análisis de precios'!E19</f>
        <v>20</v>
      </c>
      <c r="F14" s="109"/>
      <c r="G14" s="109">
        <f>+'Análisis de precios'!G19*Cascada!H90/1.21</f>
        <v>20018.082251269167</v>
      </c>
      <c r="H14" s="109">
        <f t="shared" si="0"/>
        <v>400361.64502538333</v>
      </c>
      <c r="I14" s="110"/>
      <c r="J14" s="111"/>
      <c r="K14" s="112">
        <f t="shared" si="1"/>
        <v>2.2767428369637202E-2</v>
      </c>
      <c r="L14" s="81"/>
      <c r="M14" s="39"/>
    </row>
    <row r="15" spans="1:13" ht="15.6" hidden="1" customHeight="1" x14ac:dyDescent="0.2">
      <c r="A15" s="76"/>
      <c r="B15" s="77">
        <v>1.4</v>
      </c>
      <c r="C15" s="78" t="str">
        <f>+'Análisis de precios'!C26</f>
        <v>Revoque proyectado Exterior 3 en 1</v>
      </c>
      <c r="D15" s="79" t="str">
        <f>+'Análisis de precios'!D26</f>
        <v>M2</v>
      </c>
      <c r="E15" s="79">
        <f>+'Análisis de precios'!E26</f>
        <v>400</v>
      </c>
      <c r="F15" s="109"/>
      <c r="G15" s="109">
        <f>+'Análisis de precios'!G26*Cascada!H90/1.21</f>
        <v>31216.502389351423</v>
      </c>
      <c r="H15" s="109">
        <f t="shared" si="0"/>
        <v>12486600.955740569</v>
      </c>
      <c r="I15" s="110"/>
      <c r="J15" s="111"/>
      <c r="K15" s="112">
        <f t="shared" si="1"/>
        <v>0.71007749211851379</v>
      </c>
      <c r="L15" s="81"/>
      <c r="M15" s="39"/>
    </row>
    <row r="16" spans="1:13" ht="13.95" hidden="1" customHeight="1" x14ac:dyDescent="0.2">
      <c r="A16" s="76"/>
      <c r="B16" s="77">
        <v>1.5</v>
      </c>
      <c r="C16" s="78" t="str">
        <f>+'Análisis de precios'!C31</f>
        <v>Ejecucion de Mochetas exteriores</v>
      </c>
      <c r="D16" s="79" t="str">
        <f>+'Análisis de precios'!D31</f>
        <v>M2</v>
      </c>
      <c r="E16" s="79">
        <f>+'Análisis de precios'!E31</f>
        <v>16</v>
      </c>
      <c r="F16" s="109"/>
      <c r="G16" s="109">
        <f>+'Análisis de precios'!G31*Cascada!H90/1.21</f>
        <v>67076.672172355931</v>
      </c>
      <c r="H16" s="109">
        <f t="shared" si="0"/>
        <v>1073226.7547576949</v>
      </c>
      <c r="I16" s="110"/>
      <c r="J16" s="111"/>
      <c r="K16" s="112">
        <f t="shared" si="1"/>
        <v>6.1031353944443985E-2</v>
      </c>
      <c r="L16" s="81"/>
      <c r="M16" s="39"/>
    </row>
    <row r="17" spans="1:13" ht="14.4" hidden="1" customHeight="1" x14ac:dyDescent="0.2">
      <c r="A17" s="76"/>
      <c r="B17" s="77">
        <v>1.6</v>
      </c>
      <c r="C17" s="78" t="str">
        <f>+'Análisis de precios'!C36</f>
        <v>Armado y desarmado de bandejas de proteccion</v>
      </c>
      <c r="D17" s="79" t="str">
        <f>+'Análisis de precios'!D36</f>
        <v>UNIDAD</v>
      </c>
      <c r="E17" s="79">
        <f>+'Análisis de precios'!E36</f>
        <v>12</v>
      </c>
      <c r="F17" s="109"/>
      <c r="G17" s="109">
        <f>+'Análisis de precios'!G36*Cascada!H90/1.21</f>
        <v>148466.59897407755</v>
      </c>
      <c r="H17" s="109">
        <f t="shared" si="0"/>
        <v>1781599.1876889307</v>
      </c>
      <c r="I17" s="110"/>
      <c r="J17" s="111"/>
      <c r="K17" s="112">
        <f t="shared" si="1"/>
        <v>0.10131448002852485</v>
      </c>
      <c r="L17" s="81"/>
      <c r="M17" s="39"/>
    </row>
    <row r="18" spans="1:13" hidden="1" x14ac:dyDescent="0.2">
      <c r="A18" s="15"/>
      <c r="B18" s="44"/>
      <c r="C18" s="59"/>
      <c r="D18" s="16"/>
      <c r="E18" s="65"/>
      <c r="F18" s="89"/>
      <c r="G18" s="89"/>
      <c r="H18" s="89"/>
      <c r="I18" s="89"/>
      <c r="J18" s="5"/>
      <c r="K18" s="16"/>
      <c r="L18" s="16"/>
      <c r="M18" s="15"/>
    </row>
    <row r="19" spans="1:13" ht="24" hidden="1" x14ac:dyDescent="0.2">
      <c r="A19" s="38"/>
      <c r="B19" s="69"/>
      <c r="C19" s="68"/>
      <c r="D19" s="69"/>
      <c r="E19" s="101"/>
      <c r="F19" s="89"/>
      <c r="G19" s="89"/>
      <c r="H19" s="132" t="s">
        <v>149</v>
      </c>
      <c r="I19" s="133">
        <f>SUM(I11:I18)</f>
        <v>17584842.63243838</v>
      </c>
      <c r="J19" s="31"/>
      <c r="K19" s="140">
        <f>+I19*1.21</f>
        <v>21277659.585250441</v>
      </c>
      <c r="L19" s="31"/>
      <c r="M19" s="38"/>
    </row>
    <row r="20" spans="1:13" ht="12" x14ac:dyDescent="0.2">
      <c r="A20" s="38"/>
      <c r="B20" s="69"/>
      <c r="C20" s="68"/>
      <c r="D20" s="69"/>
      <c r="E20" s="101"/>
      <c r="F20" s="89"/>
      <c r="G20" s="89"/>
      <c r="H20" s="138"/>
      <c r="I20" s="139"/>
      <c r="J20" s="31"/>
      <c r="K20" s="31"/>
      <c r="L20" s="31"/>
      <c r="M20" s="38"/>
    </row>
    <row r="21" spans="1:13" ht="20.399999999999999" x14ac:dyDescent="0.2">
      <c r="A21" s="122" t="s">
        <v>6</v>
      </c>
      <c r="B21" s="122" t="s">
        <v>7</v>
      </c>
      <c r="C21" s="135" t="s">
        <v>8</v>
      </c>
      <c r="D21" s="123" t="s">
        <v>9</v>
      </c>
      <c r="E21" s="124" t="s">
        <v>10</v>
      </c>
      <c r="F21" s="125"/>
      <c r="G21" s="125" t="s">
        <v>11</v>
      </c>
      <c r="H21" s="125" t="s">
        <v>12</v>
      </c>
      <c r="I21" s="125" t="s">
        <v>13</v>
      </c>
      <c r="J21" s="126"/>
      <c r="K21" s="127" t="s">
        <v>14</v>
      </c>
      <c r="L21" s="127" t="s">
        <v>15</v>
      </c>
      <c r="M21" s="38"/>
    </row>
    <row r="22" spans="1:13" ht="15" customHeight="1" x14ac:dyDescent="0.2">
      <c r="A22" s="105" t="s">
        <v>139</v>
      </c>
      <c r="B22" s="134">
        <v>1</v>
      </c>
      <c r="C22" s="136" t="s">
        <v>144</v>
      </c>
      <c r="D22" s="105"/>
      <c r="E22" s="106"/>
      <c r="F22" s="107"/>
      <c r="G22" s="107"/>
      <c r="H22" s="107"/>
      <c r="I22" s="130">
        <f>SUM(H23:H28)</f>
        <v>17584842.63243838</v>
      </c>
      <c r="J22" s="108"/>
      <c r="K22" s="108"/>
      <c r="L22" s="131">
        <f>+I22/I25</f>
        <v>1</v>
      </c>
      <c r="M22" s="38"/>
    </row>
    <row r="23" spans="1:13" ht="18.600000000000001" customHeight="1" x14ac:dyDescent="0.2">
      <c r="A23" s="76"/>
      <c r="B23" s="77">
        <v>1.1000000000000001</v>
      </c>
      <c r="C23" s="78" t="str">
        <f>+C15</f>
        <v>Revoque proyectado Exterior 3 en 1</v>
      </c>
      <c r="D23" s="79" t="str">
        <f t="shared" ref="D23:F23" si="2">+D15</f>
        <v>M2</v>
      </c>
      <c r="E23" s="79">
        <f t="shared" si="2"/>
        <v>400</v>
      </c>
      <c r="F23" s="78">
        <f t="shared" si="2"/>
        <v>0</v>
      </c>
      <c r="G23" s="109">
        <f>+M11</f>
        <v>43962.106581095948</v>
      </c>
      <c r="H23" s="109">
        <f t="shared" ref="H23" si="3">+E23*G23</f>
        <v>17584842.63243838</v>
      </c>
      <c r="I23" s="110"/>
      <c r="J23" s="111"/>
      <c r="K23" s="112">
        <f>+H23/$I$25</f>
        <v>1</v>
      </c>
      <c r="L23" s="81"/>
      <c r="M23" s="38"/>
    </row>
    <row r="24" spans="1:13" x14ac:dyDescent="0.2">
      <c r="A24" s="38"/>
      <c r="B24" s="69"/>
      <c r="C24" s="68"/>
      <c r="D24" s="69"/>
      <c r="E24" s="101"/>
      <c r="F24" s="89"/>
      <c r="G24" s="89"/>
      <c r="H24" s="92"/>
      <c r="I24" s="92"/>
      <c r="J24" s="31"/>
      <c r="K24" s="31"/>
      <c r="L24" s="31"/>
      <c r="M24" s="38"/>
    </row>
    <row r="25" spans="1:13" ht="24" x14ac:dyDescent="0.2">
      <c r="H25" s="132" t="s">
        <v>149</v>
      </c>
      <c r="I25" s="133">
        <f>SUM(I22:I24)</f>
        <v>17584842.63243838</v>
      </c>
      <c r="K25" s="140">
        <f>+I25*1.21</f>
        <v>21277659.585250441</v>
      </c>
    </row>
    <row r="27" spans="1:13" x14ac:dyDescent="0.2">
      <c r="B27" s="128" t="s">
        <v>146</v>
      </c>
    </row>
    <row r="28" spans="1:13" x14ac:dyDescent="0.2">
      <c r="B28" s="129" t="s">
        <v>145</v>
      </c>
    </row>
    <row r="29" spans="1:13" x14ac:dyDescent="0.2">
      <c r="B29" s="128" t="s">
        <v>147</v>
      </c>
    </row>
    <row r="30" spans="1:13" x14ac:dyDescent="0.2">
      <c r="B30" s="128" t="s">
        <v>151</v>
      </c>
    </row>
    <row r="31" spans="1:13" x14ac:dyDescent="0.2">
      <c r="B31" s="128" t="s">
        <v>148</v>
      </c>
    </row>
    <row r="32" spans="1:13" x14ac:dyDescent="0.2">
      <c r="B32" s="128"/>
    </row>
  </sheetData>
  <phoneticPr fontId="4" type="noConversion"/>
  <pageMargins left="0.7" right="0.7" top="0.75" bottom="0.75" header="0.3" footer="0.3"/>
  <pageSetup paperSize="9" fitToHeight="0" orientation="landscape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0F72-4306-4BA2-8EAD-1D168EBF191C}">
  <dimension ref="A1:K28"/>
  <sheetViews>
    <sheetView workbookViewId="0">
      <selection activeCell="B6" sqref="B6"/>
    </sheetView>
  </sheetViews>
  <sheetFormatPr baseColWidth="10" defaultColWidth="12" defaultRowHeight="10.199999999999999" x14ac:dyDescent="0.2"/>
  <cols>
    <col min="1" max="2" width="12.85546875" customWidth="1"/>
    <col min="3" max="3" width="67" customWidth="1"/>
    <col min="4" max="4" width="12.85546875" style="22" customWidth="1"/>
    <col min="5" max="5" width="12.85546875" style="23" customWidth="1"/>
  </cols>
  <sheetData>
    <row r="1" spans="1:11" s="15" customFormat="1" ht="44.25" customHeight="1" x14ac:dyDescent="0.2">
      <c r="A1" s="18"/>
      <c r="C1" s="16"/>
      <c r="D1" s="1"/>
      <c r="E1" s="1"/>
    </row>
    <row r="2" spans="1:11" s="15" customFormat="1" ht="12" x14ac:dyDescent="0.2">
      <c r="A2" s="20"/>
      <c r="C2" s="16"/>
      <c r="D2" s="1"/>
      <c r="E2" s="1"/>
    </row>
    <row r="3" spans="1:11" s="15" customFormat="1" x14ac:dyDescent="0.2">
      <c r="D3" s="16"/>
      <c r="E3" s="1"/>
    </row>
    <row r="4" spans="1:11" s="15" customFormat="1" x14ac:dyDescent="0.2">
      <c r="A4" s="15" t="s">
        <v>0</v>
      </c>
      <c r="B4" s="15" t="str">
        <f>+'Análisis de precios'!B4</f>
        <v>Ing. Slucky - ANEA INGENIEROS SA   CUIT 30714427152</v>
      </c>
      <c r="D4" s="16"/>
      <c r="E4" s="1"/>
    </row>
    <row r="5" spans="1:11" s="15" customFormat="1" x14ac:dyDescent="0.2">
      <c r="A5" s="15" t="s">
        <v>1</v>
      </c>
      <c r="B5" s="15" t="str">
        <f>+'Análisis de precios'!B5</f>
        <v>EDIFICIO CALLE TUCUMAN 1332</v>
      </c>
      <c r="D5" s="16"/>
      <c r="E5" s="1"/>
    </row>
    <row r="6" spans="1:11" s="15" customFormat="1" x14ac:dyDescent="0.2">
      <c r="A6" s="15" t="s">
        <v>3</v>
      </c>
      <c r="B6" s="62">
        <f>+'Análisis de precios'!B6</f>
        <v>45961</v>
      </c>
      <c r="D6" s="16"/>
      <c r="E6" s="1"/>
    </row>
    <row r="7" spans="1:11" s="15" customFormat="1" x14ac:dyDescent="0.2">
      <c r="A7" s="15" t="s">
        <v>4</v>
      </c>
      <c r="B7" s="15">
        <f>+'Análisis de precios'!B7</f>
        <v>0</v>
      </c>
      <c r="C7" s="3"/>
      <c r="D7" s="16"/>
      <c r="E7" s="1"/>
    </row>
    <row r="8" spans="1:11" s="39" customFormat="1" ht="18" customHeight="1" x14ac:dyDescent="0.2">
      <c r="A8" s="15" t="s">
        <v>5</v>
      </c>
      <c r="B8" s="15"/>
      <c r="C8" s="15"/>
      <c r="D8" s="36"/>
      <c r="E8" s="37"/>
    </row>
    <row r="9" spans="1:11" s="15" customFormat="1" x14ac:dyDescent="0.2">
      <c r="C9" s="3"/>
      <c r="D9" s="16"/>
      <c r="E9" s="1"/>
    </row>
    <row r="10" spans="1:11" s="38" customFormat="1" ht="26.25" customHeight="1" x14ac:dyDescent="0.2">
      <c r="A10" s="54" t="s">
        <v>6</v>
      </c>
      <c r="B10" s="54" t="s">
        <v>7</v>
      </c>
      <c r="C10" s="48" t="s">
        <v>8</v>
      </c>
      <c r="D10" s="49" t="s">
        <v>9</v>
      </c>
      <c r="E10" s="50" t="s">
        <v>10</v>
      </c>
      <c r="F10" s="60" t="s">
        <v>140</v>
      </c>
      <c r="G10" s="60" t="s">
        <v>141</v>
      </c>
      <c r="H10" s="60" t="s">
        <v>142</v>
      </c>
      <c r="I10" s="39"/>
      <c r="J10" s="39"/>
      <c r="K10" s="39"/>
    </row>
    <row r="11" spans="1:11" s="28" customFormat="1" ht="18" customHeight="1" x14ac:dyDescent="0.2">
      <c r="A11" s="58"/>
      <c r="B11" s="55" t="s">
        <v>138</v>
      </c>
      <c r="C11" s="51" t="s">
        <v>143</v>
      </c>
      <c r="D11" s="34" t="s">
        <v>59</v>
      </c>
      <c r="E11" s="35">
        <v>1</v>
      </c>
      <c r="F11" s="61"/>
      <c r="G11" s="61"/>
      <c r="H11" s="61"/>
    </row>
    <row r="12" spans="1:11" ht="18" customHeight="1" x14ac:dyDescent="0.2"/>
    <row r="13" spans="1:11" ht="18" customHeight="1" x14ac:dyDescent="0.2"/>
    <row r="14" spans="1:11" ht="18" customHeight="1" x14ac:dyDescent="0.2">
      <c r="C14" s="59"/>
    </row>
    <row r="15" spans="1:11" ht="18" customHeight="1" x14ac:dyDescent="0.2"/>
    <row r="16" spans="1:11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E5DE-06F8-4C48-BD6F-50E8585FDD2B}">
  <dimension ref="A1:J387"/>
  <sheetViews>
    <sheetView topLeftCell="A7" workbookViewId="0">
      <selection activeCell="J19" sqref="J19"/>
    </sheetView>
  </sheetViews>
  <sheetFormatPr baseColWidth="10" defaultColWidth="12" defaultRowHeight="18" customHeight="1" x14ac:dyDescent="0.2"/>
  <cols>
    <col min="1" max="2" width="12.85546875" style="15" customWidth="1"/>
    <col min="3" max="3" width="73.85546875" style="15" customWidth="1"/>
    <col min="4" max="4" width="12.85546875" style="16" customWidth="1"/>
    <col min="5" max="5" width="12.85546875" style="65" customWidth="1"/>
    <col min="6" max="6" width="12.85546875" style="98" customWidth="1"/>
    <col min="7" max="7" width="15.140625" style="98" bestFit="1" customWidth="1"/>
    <col min="8" max="9" width="12" style="15"/>
    <col min="10" max="10" width="18" style="15" customWidth="1"/>
    <col min="11" max="16384" width="12" style="15"/>
  </cols>
  <sheetData>
    <row r="1" spans="1:10" ht="18" customHeight="1" x14ac:dyDescent="0.2">
      <c r="A1" s="18"/>
      <c r="C1" s="16"/>
      <c r="D1" s="1"/>
      <c r="F1" s="88"/>
      <c r="G1" s="88"/>
    </row>
    <row r="2" spans="1:10" ht="18" customHeight="1" x14ac:dyDescent="0.2">
      <c r="A2" s="20"/>
      <c r="C2" s="16"/>
      <c r="D2" s="1"/>
      <c r="F2" s="88"/>
      <c r="G2" s="88"/>
    </row>
    <row r="3" spans="1:10" ht="18" customHeight="1" x14ac:dyDescent="0.2">
      <c r="F3" s="89"/>
      <c r="G3" s="89"/>
    </row>
    <row r="4" spans="1:10" ht="18" customHeight="1" x14ac:dyDescent="0.2">
      <c r="A4" s="15" t="s">
        <v>0</v>
      </c>
      <c r="B4" s="15" t="s">
        <v>150</v>
      </c>
      <c r="F4" s="89"/>
      <c r="G4" s="89"/>
    </row>
    <row r="5" spans="1:10" ht="18" customHeight="1" x14ac:dyDescent="0.2">
      <c r="A5" s="15" t="s">
        <v>1</v>
      </c>
      <c r="B5" s="15" t="s">
        <v>2</v>
      </c>
      <c r="F5" s="89"/>
      <c r="G5" s="89"/>
    </row>
    <row r="6" spans="1:10" ht="18" customHeight="1" x14ac:dyDescent="0.2">
      <c r="A6" s="15" t="s">
        <v>3</v>
      </c>
      <c r="B6" s="27">
        <v>45961</v>
      </c>
      <c r="F6" s="89"/>
      <c r="G6" s="89"/>
    </row>
    <row r="7" spans="1:10" ht="18" customHeight="1" x14ac:dyDescent="0.2">
      <c r="A7" s="15" t="s">
        <v>4</v>
      </c>
      <c r="C7" s="3"/>
      <c r="F7" s="89"/>
      <c r="G7" s="89"/>
    </row>
    <row r="8" spans="1:10" s="39" customFormat="1" ht="18" customHeight="1" x14ac:dyDescent="0.2">
      <c r="A8" s="15" t="s">
        <v>5</v>
      </c>
      <c r="B8" s="15"/>
      <c r="C8" s="15"/>
      <c r="D8" s="36"/>
      <c r="E8" s="99"/>
      <c r="F8" s="90"/>
      <c r="G8" s="90"/>
    </row>
    <row r="9" spans="1:10" ht="18" customHeight="1" x14ac:dyDescent="0.2">
      <c r="C9" s="3"/>
      <c r="F9" s="89"/>
      <c r="G9" s="89"/>
    </row>
    <row r="10" spans="1:10" s="38" customFormat="1" ht="18" customHeight="1" x14ac:dyDescent="0.2">
      <c r="A10" s="54" t="s">
        <v>6</v>
      </c>
      <c r="B10" s="54" t="s">
        <v>7</v>
      </c>
      <c r="C10" s="48" t="s">
        <v>8</v>
      </c>
      <c r="D10" s="49" t="s">
        <v>9</v>
      </c>
      <c r="E10" s="114" t="s">
        <v>10</v>
      </c>
      <c r="F10" s="115"/>
      <c r="G10" s="115" t="s">
        <v>11</v>
      </c>
      <c r="H10" s="82" t="s">
        <v>21</v>
      </c>
      <c r="I10" s="82" t="s">
        <v>22</v>
      </c>
      <c r="J10" s="82" t="s">
        <v>23</v>
      </c>
    </row>
    <row r="11" spans="1:10" s="39" customFormat="1" ht="18" customHeight="1" x14ac:dyDescent="0.2">
      <c r="A11" s="116" t="s">
        <v>24</v>
      </c>
      <c r="B11" s="117"/>
      <c r="C11" s="118" t="s">
        <v>25</v>
      </c>
      <c r="D11" s="116" t="s">
        <v>26</v>
      </c>
      <c r="E11" s="119">
        <f ca="1">SUMIF('Análisis de precios'!C10:$P$39,C11,'Análisis de precios'!N10:$N$39)</f>
        <v>441.84</v>
      </c>
      <c r="F11" s="120">
        <v>6197.24</v>
      </c>
      <c r="G11" s="121">
        <f t="shared" ref="G11:G18" ca="1" si="0">+E11*F11</f>
        <v>2738188.5215999996</v>
      </c>
      <c r="H11" s="71">
        <v>2</v>
      </c>
      <c r="I11" s="72">
        <f ca="1">+E11/8</f>
        <v>55.23</v>
      </c>
      <c r="J11" s="72">
        <f ca="1">+I11/H11</f>
        <v>27.614999999999998</v>
      </c>
    </row>
    <row r="12" spans="1:10" s="39" customFormat="1" ht="18" customHeight="1" x14ac:dyDescent="0.2">
      <c r="A12" s="116" t="s">
        <v>24</v>
      </c>
      <c r="B12" s="117"/>
      <c r="C12" s="118" t="s">
        <v>27</v>
      </c>
      <c r="D12" s="116" t="s">
        <v>26</v>
      </c>
      <c r="E12" s="119">
        <f ca="1">SUMIF('Análisis de precios'!C11:$P$39,C12,'Análisis de precios'!N11:$N$39)</f>
        <v>219.32</v>
      </c>
      <c r="F12" s="120">
        <v>6197.24</v>
      </c>
      <c r="G12" s="121">
        <f t="shared" ca="1" si="0"/>
        <v>1359178.6768</v>
      </c>
      <c r="H12" s="71">
        <v>1</v>
      </c>
      <c r="I12" s="72">
        <f ca="1">+E12/8</f>
        <v>27.414999999999999</v>
      </c>
      <c r="J12" s="72">
        <f ca="1">+I12/H12</f>
        <v>27.414999999999999</v>
      </c>
    </row>
    <row r="13" spans="1:10" s="39" customFormat="1" ht="18" customHeight="1" x14ac:dyDescent="0.2">
      <c r="A13" s="116" t="s">
        <v>24</v>
      </c>
      <c r="B13" s="117"/>
      <c r="C13" s="118" t="s">
        <v>28</v>
      </c>
      <c r="D13" s="116" t="s">
        <v>26</v>
      </c>
      <c r="E13" s="119">
        <f ca="1">SUMIF('Análisis de precios'!C12:$P$39,C13,'Análisis de precios'!N12:$N$39)</f>
        <v>219.32</v>
      </c>
      <c r="F13" s="120">
        <v>5541.24</v>
      </c>
      <c r="G13" s="121">
        <f t="shared" ca="1" si="0"/>
        <v>1215304.7567999999</v>
      </c>
      <c r="H13" s="71">
        <v>1</v>
      </c>
      <c r="I13" s="72">
        <f ca="1">+E13/8</f>
        <v>27.414999999999999</v>
      </c>
      <c r="J13" s="72">
        <f ca="1">+I13/H13</f>
        <v>27.414999999999999</v>
      </c>
    </row>
    <row r="14" spans="1:10" s="39" customFormat="1" ht="18" customHeight="1" x14ac:dyDescent="0.2">
      <c r="A14" s="116" t="s">
        <v>32</v>
      </c>
      <c r="B14" s="117"/>
      <c r="C14" s="118" t="s">
        <v>33</v>
      </c>
      <c r="D14" s="116" t="s">
        <v>34</v>
      </c>
      <c r="E14" s="119">
        <f ca="1">SUMIF('Análisis de precios'!C13:$P$39,C14,'Análisis de precios'!N13:$N$39)</f>
        <v>14.336</v>
      </c>
      <c r="F14" s="120">
        <f>250000/48</f>
        <v>5208.333333333333</v>
      </c>
      <c r="G14" s="121">
        <f t="shared" ca="1" si="0"/>
        <v>74666.666666666657</v>
      </c>
    </row>
    <row r="15" spans="1:10" s="39" customFormat="1" ht="18" customHeight="1" x14ac:dyDescent="0.2">
      <c r="A15" s="116" t="s">
        <v>32</v>
      </c>
      <c r="B15" s="117"/>
      <c r="C15" s="118" t="s">
        <v>35</v>
      </c>
      <c r="D15" s="116" t="s">
        <v>34</v>
      </c>
      <c r="E15" s="119">
        <f ca="1">SUMIF('Análisis de precios'!C14:$P$39,C15,'Análisis de precios'!N14:$N$39)</f>
        <v>6.1444095999999995</v>
      </c>
      <c r="F15" s="120">
        <f>250000/48</f>
        <v>5208.333333333333</v>
      </c>
      <c r="G15" s="121">
        <f t="shared" ca="1" si="0"/>
        <v>32002.133333333328</v>
      </c>
    </row>
    <row r="16" spans="1:10" s="39" customFormat="1" ht="18" customHeight="1" x14ac:dyDescent="0.2">
      <c r="A16" s="116" t="s">
        <v>32</v>
      </c>
      <c r="B16" s="117"/>
      <c r="C16" s="118" t="s">
        <v>38</v>
      </c>
      <c r="D16" s="116" t="s">
        <v>39</v>
      </c>
      <c r="E16" s="119">
        <f ca="1">SUMIF('Análisis de precios'!C15:$P$39,C16,'Análisis de precios'!N15:$N$39)</f>
        <v>12540</v>
      </c>
      <c r="F16" s="120">
        <v>250</v>
      </c>
      <c r="G16" s="121">
        <f t="shared" ca="1" si="0"/>
        <v>3135000</v>
      </c>
    </row>
    <row r="17" spans="1:7" s="39" customFormat="1" ht="18" customHeight="1" x14ac:dyDescent="0.2">
      <c r="A17" s="116" t="s">
        <v>32</v>
      </c>
      <c r="B17" s="117"/>
      <c r="C17" s="118" t="s">
        <v>40</v>
      </c>
      <c r="D17" s="116" t="s">
        <v>41</v>
      </c>
      <c r="E17" s="119">
        <f ca="1">SUMIF('Análisis de precios'!C16:$P$39,C17,'Análisis de precios'!N16:$N$39)</f>
        <v>20</v>
      </c>
      <c r="F17" s="120">
        <f>52000/50</f>
        <v>1040</v>
      </c>
      <c r="G17" s="121">
        <f t="shared" ca="1" si="0"/>
        <v>20800</v>
      </c>
    </row>
    <row r="18" spans="1:7" s="39" customFormat="1" ht="18" customHeight="1" x14ac:dyDescent="0.2">
      <c r="A18" s="116" t="s">
        <v>42</v>
      </c>
      <c r="B18" s="117"/>
      <c r="C18" s="118" t="s">
        <v>43</v>
      </c>
      <c r="D18" s="116" t="s">
        <v>26</v>
      </c>
      <c r="E18" s="119">
        <f ca="1">SUMIF('Análisis de precios'!C17:$P$39,C18,'Análisis de precios'!N17:$N$39)</f>
        <v>3.2894736842105261E-2</v>
      </c>
      <c r="F18" s="120">
        <v>190</v>
      </c>
      <c r="G18" s="121">
        <f t="shared" ca="1" si="0"/>
        <v>6.25</v>
      </c>
    </row>
    <row r="19" spans="1:7" s="39" customFormat="1" ht="18" customHeight="1" x14ac:dyDescent="0.2">
      <c r="A19"/>
      <c r="B19"/>
      <c r="C19"/>
      <c r="D19"/>
      <c r="E19"/>
      <c r="F19"/>
      <c r="G19"/>
    </row>
    <row r="20" spans="1:7" s="39" customFormat="1" ht="18" customHeight="1" x14ac:dyDescent="0.2">
      <c r="A20"/>
      <c r="B20"/>
      <c r="C20"/>
      <c r="D20"/>
      <c r="E20"/>
      <c r="F20"/>
      <c r="G20" s="104">
        <f ca="1">SUM(G11:G19)</f>
        <v>8575147.0052000005</v>
      </c>
    </row>
    <row r="21" spans="1:7" s="39" customFormat="1" ht="18" customHeight="1" x14ac:dyDescent="0.2">
      <c r="A21"/>
      <c r="B21"/>
      <c r="C21"/>
      <c r="D21"/>
      <c r="E21"/>
      <c r="F21"/>
      <c r="G21"/>
    </row>
    <row r="22" spans="1:7" s="39" customFormat="1" ht="18" customHeight="1" x14ac:dyDescent="0.2">
      <c r="A22"/>
      <c r="B22"/>
      <c r="C22"/>
      <c r="D22"/>
      <c r="E22"/>
      <c r="F22"/>
      <c r="G22"/>
    </row>
    <row r="23" spans="1:7" s="39" customFormat="1" ht="18" customHeight="1" x14ac:dyDescent="0.2">
      <c r="A23"/>
      <c r="B23"/>
      <c r="C23"/>
      <c r="D23"/>
      <c r="E23"/>
      <c r="F23"/>
      <c r="G23"/>
    </row>
    <row r="24" spans="1:7" s="39" customFormat="1" ht="18" customHeight="1" x14ac:dyDescent="0.2">
      <c r="A24"/>
      <c r="B24"/>
      <c r="C24"/>
      <c r="D24"/>
      <c r="E24"/>
      <c r="F24"/>
      <c r="G24"/>
    </row>
    <row r="25" spans="1:7" s="39" customFormat="1" ht="18" customHeight="1" x14ac:dyDescent="0.2">
      <c r="A25"/>
      <c r="B25"/>
      <c r="C25"/>
      <c r="D25"/>
      <c r="E25"/>
      <c r="F25"/>
      <c r="G25"/>
    </row>
    <row r="26" spans="1:7" s="39" customFormat="1" ht="18" customHeight="1" x14ac:dyDescent="0.2">
      <c r="A26"/>
      <c r="B26"/>
      <c r="C26"/>
      <c r="D26"/>
      <c r="E26"/>
      <c r="F26"/>
      <c r="G26"/>
    </row>
    <row r="27" spans="1:7" s="39" customFormat="1" ht="18" customHeight="1" x14ac:dyDescent="0.2">
      <c r="A27"/>
      <c r="B27"/>
      <c r="C27"/>
      <c r="D27"/>
      <c r="E27"/>
      <c r="F27"/>
      <c r="G27"/>
    </row>
    <row r="28" spans="1:7" s="39" customFormat="1" ht="18" customHeight="1" x14ac:dyDescent="0.2">
      <c r="A28"/>
      <c r="B28"/>
      <c r="C28"/>
      <c r="D28"/>
      <c r="E28"/>
      <c r="F28"/>
      <c r="G28"/>
    </row>
    <row r="29" spans="1:7" s="39" customFormat="1" ht="18" customHeight="1" x14ac:dyDescent="0.2">
      <c r="A29"/>
      <c r="B29"/>
      <c r="C29"/>
      <c r="D29"/>
      <c r="E29"/>
      <c r="F29"/>
      <c r="G29"/>
    </row>
    <row r="30" spans="1:7" s="39" customFormat="1" ht="18" customHeight="1" x14ac:dyDescent="0.2">
      <c r="A30"/>
      <c r="B30"/>
      <c r="C30"/>
      <c r="D30"/>
      <c r="E30"/>
      <c r="F30"/>
      <c r="G30"/>
    </row>
    <row r="31" spans="1:7" s="39" customFormat="1" ht="18" customHeight="1" x14ac:dyDescent="0.2">
      <c r="A31"/>
      <c r="B31"/>
      <c r="C31"/>
      <c r="D31"/>
      <c r="E31"/>
      <c r="F31"/>
      <c r="G31"/>
    </row>
    <row r="32" spans="1:7" s="39" customFormat="1" ht="18" customHeight="1" x14ac:dyDescent="0.2">
      <c r="A32"/>
      <c r="B32"/>
      <c r="C32"/>
      <c r="D32"/>
      <c r="E32"/>
      <c r="F32"/>
      <c r="G32"/>
    </row>
    <row r="33" spans="1:7" s="39" customFormat="1" ht="18" customHeight="1" x14ac:dyDescent="0.2">
      <c r="A33"/>
      <c r="B33"/>
      <c r="C33"/>
      <c r="D33"/>
      <c r="E33"/>
      <c r="F33"/>
      <c r="G33"/>
    </row>
    <row r="35" spans="1:7" s="39" customFormat="1" ht="18" customHeight="1" x14ac:dyDescent="0.2">
      <c r="A35" s="38"/>
      <c r="B35" s="67"/>
      <c r="C35" s="68"/>
      <c r="D35" s="69"/>
      <c r="E35" s="101"/>
      <c r="F35" s="89"/>
      <c r="G35" s="89"/>
    </row>
    <row r="36" spans="1:7" s="39" customFormat="1" ht="18" customHeight="1" x14ac:dyDescent="0.2">
      <c r="A36" s="38"/>
      <c r="B36" s="67"/>
      <c r="C36" s="68"/>
      <c r="D36" s="69"/>
      <c r="E36" s="101"/>
      <c r="F36" s="89"/>
      <c r="G36" s="89"/>
    </row>
    <row r="40" spans="1:7" ht="18" customHeight="1" x14ac:dyDescent="0.2">
      <c r="D40" s="36"/>
      <c r="E40" s="99"/>
      <c r="F40" s="90"/>
      <c r="G40" s="90"/>
    </row>
    <row r="41" spans="1:7" ht="18" customHeight="1" x14ac:dyDescent="0.2">
      <c r="E41" s="103"/>
    </row>
    <row r="42" spans="1:7" ht="18" customHeight="1" x14ac:dyDescent="0.2">
      <c r="E42" s="103"/>
    </row>
    <row r="43" spans="1:7" ht="18" customHeight="1" x14ac:dyDescent="0.2">
      <c r="E43" s="103"/>
    </row>
    <row r="44" spans="1:7" ht="18" customHeight="1" x14ac:dyDescent="0.2">
      <c r="E44" s="103"/>
    </row>
    <row r="45" spans="1:7" ht="18" customHeight="1" x14ac:dyDescent="0.2">
      <c r="E45" s="103"/>
    </row>
    <row r="46" spans="1:7" ht="18" customHeight="1" x14ac:dyDescent="0.2">
      <c r="E46" s="103"/>
    </row>
    <row r="127" ht="10.199999999999999" x14ac:dyDescent="0.2"/>
    <row r="128" ht="10.199999999999999" x14ac:dyDescent="0.2"/>
    <row r="140" ht="10.199999999999999" x14ac:dyDescent="0.2"/>
    <row r="141" ht="10.199999999999999" x14ac:dyDescent="0.2"/>
    <row r="142" ht="10.199999999999999" x14ac:dyDescent="0.2"/>
    <row r="143" ht="10.199999999999999" x14ac:dyDescent="0.2"/>
    <row r="144" ht="10.199999999999999" x14ac:dyDescent="0.2"/>
    <row r="145" ht="10.199999999999999" x14ac:dyDescent="0.2"/>
    <row r="146" ht="10.199999999999999" x14ac:dyDescent="0.2"/>
    <row r="147" ht="10.199999999999999" x14ac:dyDescent="0.2"/>
    <row r="148" ht="10.199999999999999" x14ac:dyDescent="0.2"/>
    <row r="149" ht="10.199999999999999" x14ac:dyDescent="0.2"/>
    <row r="150" ht="10.199999999999999" x14ac:dyDescent="0.2"/>
    <row r="151" ht="10.199999999999999" x14ac:dyDescent="0.2"/>
    <row r="152" ht="10.199999999999999" x14ac:dyDescent="0.2"/>
    <row r="153" ht="10.199999999999999" x14ac:dyDescent="0.2"/>
    <row r="154" ht="10.199999999999999" x14ac:dyDescent="0.2"/>
    <row r="155" ht="10.199999999999999" x14ac:dyDescent="0.2"/>
    <row r="156" ht="10.199999999999999" x14ac:dyDescent="0.2"/>
    <row r="157" ht="10.199999999999999" x14ac:dyDescent="0.2"/>
    <row r="158" ht="10.199999999999999" x14ac:dyDescent="0.2"/>
    <row r="159" ht="10.199999999999999" x14ac:dyDescent="0.2"/>
    <row r="160" ht="10.199999999999999" x14ac:dyDescent="0.2"/>
    <row r="161" ht="10.199999999999999" x14ac:dyDescent="0.2"/>
    <row r="162" ht="10.199999999999999" x14ac:dyDescent="0.2"/>
    <row r="163" ht="10.199999999999999" x14ac:dyDescent="0.2"/>
    <row r="164" ht="10.199999999999999" x14ac:dyDescent="0.2"/>
    <row r="165" ht="10.199999999999999" x14ac:dyDescent="0.2"/>
    <row r="166" ht="10.199999999999999" x14ac:dyDescent="0.2"/>
    <row r="167" ht="10.199999999999999" x14ac:dyDescent="0.2"/>
    <row r="168" ht="10.199999999999999" x14ac:dyDescent="0.2"/>
    <row r="169" ht="10.199999999999999" x14ac:dyDescent="0.2"/>
    <row r="170" ht="10.199999999999999" x14ac:dyDescent="0.2"/>
    <row r="171" ht="10.199999999999999" x14ac:dyDescent="0.2"/>
    <row r="172" ht="10.199999999999999" x14ac:dyDescent="0.2"/>
    <row r="173" ht="10.199999999999999" x14ac:dyDescent="0.2"/>
    <row r="174" ht="10.199999999999999" x14ac:dyDescent="0.2"/>
    <row r="175" ht="10.199999999999999" x14ac:dyDescent="0.2"/>
    <row r="176" ht="10.199999999999999" x14ac:dyDescent="0.2"/>
    <row r="177" ht="10.199999999999999" x14ac:dyDescent="0.2"/>
    <row r="178" ht="10.199999999999999" x14ac:dyDescent="0.2"/>
    <row r="179" ht="10.199999999999999" x14ac:dyDescent="0.2"/>
    <row r="180" ht="10.199999999999999" x14ac:dyDescent="0.2"/>
    <row r="181" ht="10.199999999999999" x14ac:dyDescent="0.2"/>
    <row r="182" ht="10.199999999999999" x14ac:dyDescent="0.2"/>
    <row r="183" ht="10.199999999999999" x14ac:dyDescent="0.2"/>
    <row r="184" ht="10.199999999999999" x14ac:dyDescent="0.2"/>
    <row r="185" ht="10.199999999999999" x14ac:dyDescent="0.2"/>
    <row r="186" ht="10.199999999999999" x14ac:dyDescent="0.2"/>
    <row r="187" ht="10.199999999999999" x14ac:dyDescent="0.2"/>
    <row r="188" ht="10.199999999999999" x14ac:dyDescent="0.2"/>
    <row r="189" ht="10.199999999999999" x14ac:dyDescent="0.2"/>
    <row r="190" ht="10.199999999999999" x14ac:dyDescent="0.2"/>
    <row r="191" ht="10.199999999999999" x14ac:dyDescent="0.2"/>
    <row r="192" ht="10.199999999999999" x14ac:dyDescent="0.2"/>
    <row r="193" ht="10.199999999999999" x14ac:dyDescent="0.2"/>
    <row r="194" ht="10.199999999999999" x14ac:dyDescent="0.2"/>
    <row r="195" ht="10.199999999999999" x14ac:dyDescent="0.2"/>
    <row r="196" ht="10.199999999999999" x14ac:dyDescent="0.2"/>
    <row r="197" ht="10.199999999999999" x14ac:dyDescent="0.2"/>
    <row r="198" ht="10.199999999999999" x14ac:dyDescent="0.2"/>
    <row r="199" ht="10.199999999999999" x14ac:dyDescent="0.2"/>
    <row r="200" ht="10.199999999999999" x14ac:dyDescent="0.2"/>
    <row r="201" ht="10.199999999999999" x14ac:dyDescent="0.2"/>
    <row r="202" ht="10.199999999999999" x14ac:dyDescent="0.2"/>
    <row r="203" ht="10.199999999999999" x14ac:dyDescent="0.2"/>
    <row r="204" ht="10.199999999999999" x14ac:dyDescent="0.2"/>
    <row r="205" ht="10.199999999999999" x14ac:dyDescent="0.2"/>
    <row r="206" ht="10.199999999999999" x14ac:dyDescent="0.2"/>
    <row r="207" ht="10.199999999999999" x14ac:dyDescent="0.2"/>
    <row r="208" ht="10.199999999999999" x14ac:dyDescent="0.2"/>
    <row r="209" ht="10.199999999999999" x14ac:dyDescent="0.2"/>
    <row r="210" ht="10.199999999999999" x14ac:dyDescent="0.2"/>
    <row r="211" ht="10.199999999999999" x14ac:dyDescent="0.2"/>
    <row r="212" ht="10.199999999999999" x14ac:dyDescent="0.2"/>
    <row r="213" ht="10.199999999999999" x14ac:dyDescent="0.2"/>
    <row r="214" ht="10.199999999999999" x14ac:dyDescent="0.2"/>
    <row r="215" ht="10.199999999999999" x14ac:dyDescent="0.2"/>
    <row r="216" ht="10.199999999999999" x14ac:dyDescent="0.2"/>
    <row r="217" ht="10.199999999999999" x14ac:dyDescent="0.2"/>
    <row r="218" ht="10.199999999999999" x14ac:dyDescent="0.2"/>
    <row r="219" ht="10.199999999999999" x14ac:dyDescent="0.2"/>
    <row r="220" ht="10.199999999999999" x14ac:dyDescent="0.2"/>
    <row r="221" ht="10.199999999999999" x14ac:dyDescent="0.2"/>
    <row r="222" ht="10.199999999999999" x14ac:dyDescent="0.2"/>
    <row r="223" ht="10.199999999999999" x14ac:dyDescent="0.2"/>
    <row r="224" ht="10.199999999999999" x14ac:dyDescent="0.2"/>
    <row r="225" ht="10.199999999999999" x14ac:dyDescent="0.2"/>
    <row r="226" ht="10.199999999999999" x14ac:dyDescent="0.2"/>
    <row r="227" ht="10.199999999999999" x14ac:dyDescent="0.2"/>
    <row r="228" ht="10.199999999999999" x14ac:dyDescent="0.2"/>
    <row r="229" ht="10.199999999999999" x14ac:dyDescent="0.2"/>
    <row r="230" ht="10.199999999999999" x14ac:dyDescent="0.2"/>
    <row r="231" ht="10.199999999999999" x14ac:dyDescent="0.2"/>
    <row r="232" ht="10.199999999999999" x14ac:dyDescent="0.2"/>
    <row r="233" ht="10.199999999999999" x14ac:dyDescent="0.2"/>
    <row r="234" ht="10.199999999999999" x14ac:dyDescent="0.2"/>
    <row r="235" ht="10.199999999999999" x14ac:dyDescent="0.2"/>
    <row r="236" ht="10.199999999999999" x14ac:dyDescent="0.2"/>
    <row r="237" ht="10.199999999999999" x14ac:dyDescent="0.2"/>
    <row r="238" ht="10.199999999999999" x14ac:dyDescent="0.2"/>
    <row r="239" ht="10.199999999999999" x14ac:dyDescent="0.2"/>
    <row r="240" ht="10.199999999999999" x14ac:dyDescent="0.2"/>
    <row r="241" ht="10.199999999999999" x14ac:dyDescent="0.2"/>
    <row r="242" ht="10.199999999999999" x14ac:dyDescent="0.2"/>
    <row r="243" ht="10.199999999999999" x14ac:dyDescent="0.2"/>
    <row r="244" ht="10.199999999999999" x14ac:dyDescent="0.2"/>
    <row r="245" ht="10.199999999999999" x14ac:dyDescent="0.2"/>
    <row r="246" ht="10.199999999999999" x14ac:dyDescent="0.2"/>
    <row r="247" ht="10.199999999999999" x14ac:dyDescent="0.2"/>
    <row r="248" ht="10.199999999999999" x14ac:dyDescent="0.2"/>
    <row r="249" ht="10.199999999999999" x14ac:dyDescent="0.2"/>
    <row r="250" ht="10.199999999999999" x14ac:dyDescent="0.2"/>
    <row r="251" ht="10.199999999999999" x14ac:dyDescent="0.2"/>
    <row r="252" ht="10.199999999999999" x14ac:dyDescent="0.2"/>
    <row r="253" ht="10.199999999999999" x14ac:dyDescent="0.2"/>
    <row r="254" ht="10.199999999999999" x14ac:dyDescent="0.2"/>
    <row r="255" ht="10.199999999999999" x14ac:dyDescent="0.2"/>
    <row r="256" ht="10.199999999999999" x14ac:dyDescent="0.2"/>
    <row r="257" ht="10.199999999999999" x14ac:dyDescent="0.2"/>
    <row r="258" ht="10.199999999999999" x14ac:dyDescent="0.2"/>
    <row r="259" ht="10.199999999999999" x14ac:dyDescent="0.2"/>
    <row r="260" ht="10.199999999999999" x14ac:dyDescent="0.2"/>
    <row r="261" ht="10.199999999999999" x14ac:dyDescent="0.2"/>
    <row r="262" ht="10.199999999999999" x14ac:dyDescent="0.2"/>
    <row r="263" ht="10.199999999999999" x14ac:dyDescent="0.2"/>
    <row r="264" ht="10.199999999999999" x14ac:dyDescent="0.2"/>
    <row r="265" ht="10.199999999999999" x14ac:dyDescent="0.2"/>
    <row r="266" ht="10.199999999999999" x14ac:dyDescent="0.2"/>
    <row r="267" ht="10.199999999999999" x14ac:dyDescent="0.2"/>
    <row r="268" ht="10.199999999999999" x14ac:dyDescent="0.2"/>
    <row r="269" ht="10.199999999999999" x14ac:dyDescent="0.2"/>
    <row r="270" ht="10.199999999999999" x14ac:dyDescent="0.2"/>
    <row r="271" ht="10.199999999999999" x14ac:dyDescent="0.2"/>
    <row r="272" ht="10.199999999999999" x14ac:dyDescent="0.2"/>
    <row r="273" ht="10.199999999999999" x14ac:dyDescent="0.2"/>
    <row r="274" ht="10.199999999999999" x14ac:dyDescent="0.2"/>
    <row r="275" ht="10.199999999999999" x14ac:dyDescent="0.2"/>
    <row r="276" ht="10.199999999999999" x14ac:dyDescent="0.2"/>
    <row r="277" ht="10.199999999999999" x14ac:dyDescent="0.2"/>
    <row r="278" ht="10.199999999999999" x14ac:dyDescent="0.2"/>
    <row r="279" ht="10.199999999999999" x14ac:dyDescent="0.2"/>
    <row r="280" ht="10.199999999999999" x14ac:dyDescent="0.2"/>
    <row r="281" ht="10.199999999999999" x14ac:dyDescent="0.2"/>
    <row r="282" ht="10.199999999999999" x14ac:dyDescent="0.2"/>
    <row r="283" ht="10.199999999999999" x14ac:dyDescent="0.2"/>
    <row r="284" ht="10.199999999999999" x14ac:dyDescent="0.2"/>
    <row r="285" ht="10.199999999999999" x14ac:dyDescent="0.2"/>
    <row r="286" ht="10.199999999999999" x14ac:dyDescent="0.2"/>
    <row r="287" ht="10.199999999999999" x14ac:dyDescent="0.2"/>
    <row r="288" ht="10.199999999999999" x14ac:dyDescent="0.2"/>
    <row r="289" ht="10.199999999999999" x14ac:dyDescent="0.2"/>
    <row r="290" ht="10.199999999999999" x14ac:dyDescent="0.2"/>
    <row r="291" ht="10.199999999999999" x14ac:dyDescent="0.2"/>
    <row r="292" ht="10.199999999999999" x14ac:dyDescent="0.2"/>
    <row r="293" ht="10.199999999999999" x14ac:dyDescent="0.2"/>
    <row r="294" ht="10.199999999999999" x14ac:dyDescent="0.2"/>
    <row r="295" ht="10.199999999999999" x14ac:dyDescent="0.2"/>
    <row r="296" ht="10.199999999999999" x14ac:dyDescent="0.2"/>
    <row r="297" ht="10.199999999999999" x14ac:dyDescent="0.2"/>
    <row r="298" ht="10.199999999999999" x14ac:dyDescent="0.2"/>
    <row r="299" ht="10.199999999999999" x14ac:dyDescent="0.2"/>
    <row r="300" ht="10.199999999999999" x14ac:dyDescent="0.2"/>
    <row r="301" ht="10.199999999999999" x14ac:dyDescent="0.2"/>
    <row r="302" ht="10.199999999999999" x14ac:dyDescent="0.2"/>
    <row r="303" ht="10.199999999999999" x14ac:dyDescent="0.2"/>
    <row r="304" ht="10.199999999999999" x14ac:dyDescent="0.2"/>
    <row r="305" ht="10.199999999999999" x14ac:dyDescent="0.2"/>
    <row r="306" ht="10.199999999999999" x14ac:dyDescent="0.2"/>
    <row r="307" ht="10.199999999999999" x14ac:dyDescent="0.2"/>
    <row r="308" ht="10.199999999999999" x14ac:dyDescent="0.2"/>
    <row r="309" ht="10.199999999999999" x14ac:dyDescent="0.2"/>
    <row r="310" ht="10.199999999999999" x14ac:dyDescent="0.2"/>
    <row r="311" ht="10.199999999999999" x14ac:dyDescent="0.2"/>
    <row r="312" ht="10.199999999999999" x14ac:dyDescent="0.2"/>
    <row r="313" ht="10.199999999999999" x14ac:dyDescent="0.2"/>
    <row r="314" ht="10.199999999999999" x14ac:dyDescent="0.2"/>
    <row r="315" ht="10.199999999999999" x14ac:dyDescent="0.2"/>
    <row r="316" ht="10.199999999999999" x14ac:dyDescent="0.2"/>
    <row r="317" ht="10.199999999999999" x14ac:dyDescent="0.2"/>
    <row r="318" ht="10.199999999999999" x14ac:dyDescent="0.2"/>
    <row r="319" ht="10.199999999999999" x14ac:dyDescent="0.2"/>
    <row r="320" ht="10.199999999999999" x14ac:dyDescent="0.2"/>
    <row r="321" ht="10.199999999999999" x14ac:dyDescent="0.2"/>
    <row r="322" ht="10.199999999999999" x14ac:dyDescent="0.2"/>
    <row r="323" ht="10.199999999999999" x14ac:dyDescent="0.2"/>
    <row r="324" ht="10.199999999999999" x14ac:dyDescent="0.2"/>
    <row r="325" ht="10.199999999999999" x14ac:dyDescent="0.2"/>
    <row r="326" ht="10.199999999999999" x14ac:dyDescent="0.2"/>
    <row r="327" ht="10.199999999999999" x14ac:dyDescent="0.2"/>
    <row r="328" ht="10.199999999999999" x14ac:dyDescent="0.2"/>
    <row r="329" ht="10.199999999999999" x14ac:dyDescent="0.2"/>
    <row r="330" ht="10.199999999999999" x14ac:dyDescent="0.2"/>
    <row r="331" ht="10.199999999999999" x14ac:dyDescent="0.2"/>
    <row r="332" ht="10.199999999999999" x14ac:dyDescent="0.2"/>
    <row r="333" ht="10.199999999999999" x14ac:dyDescent="0.2"/>
    <row r="334" ht="10.199999999999999" x14ac:dyDescent="0.2"/>
    <row r="335" ht="10.199999999999999" x14ac:dyDescent="0.2"/>
    <row r="336" ht="10.199999999999999" x14ac:dyDescent="0.2"/>
    <row r="337" ht="10.199999999999999" x14ac:dyDescent="0.2"/>
    <row r="338" ht="10.199999999999999" x14ac:dyDescent="0.2"/>
    <row r="339" ht="10.199999999999999" x14ac:dyDescent="0.2"/>
    <row r="340" ht="10.199999999999999" x14ac:dyDescent="0.2"/>
    <row r="341" ht="10.199999999999999" x14ac:dyDescent="0.2"/>
    <row r="342" ht="10.199999999999999" x14ac:dyDescent="0.2"/>
    <row r="343" ht="10.199999999999999" x14ac:dyDescent="0.2"/>
    <row r="344" ht="10.199999999999999" x14ac:dyDescent="0.2"/>
    <row r="345" ht="10.199999999999999" x14ac:dyDescent="0.2"/>
    <row r="346" ht="10.199999999999999" x14ac:dyDescent="0.2"/>
    <row r="347" ht="10.199999999999999" x14ac:dyDescent="0.2"/>
    <row r="348" ht="10.199999999999999" x14ac:dyDescent="0.2"/>
    <row r="349" ht="10.199999999999999" x14ac:dyDescent="0.2"/>
    <row r="350" ht="10.199999999999999" x14ac:dyDescent="0.2"/>
    <row r="351" ht="10.199999999999999" x14ac:dyDescent="0.2"/>
    <row r="352" ht="10.199999999999999" x14ac:dyDescent="0.2"/>
    <row r="353" ht="10.199999999999999" x14ac:dyDescent="0.2"/>
    <row r="354" ht="10.199999999999999" x14ac:dyDescent="0.2"/>
    <row r="355" ht="10.199999999999999" x14ac:dyDescent="0.2"/>
    <row r="356" ht="10.199999999999999" x14ac:dyDescent="0.2"/>
    <row r="357" ht="10.199999999999999" x14ac:dyDescent="0.2"/>
    <row r="358" ht="10.199999999999999" x14ac:dyDescent="0.2"/>
    <row r="359" ht="10.199999999999999" x14ac:dyDescent="0.2"/>
    <row r="360" ht="10.199999999999999" x14ac:dyDescent="0.2"/>
    <row r="361" ht="10.199999999999999" x14ac:dyDescent="0.2"/>
    <row r="362" ht="10.199999999999999" x14ac:dyDescent="0.2"/>
    <row r="363" ht="10.199999999999999" x14ac:dyDescent="0.2"/>
    <row r="364" ht="10.199999999999999" x14ac:dyDescent="0.2"/>
    <row r="365" ht="10.199999999999999" x14ac:dyDescent="0.2"/>
    <row r="366" ht="10.199999999999999" x14ac:dyDescent="0.2"/>
    <row r="367" ht="10.199999999999999" x14ac:dyDescent="0.2"/>
    <row r="368" ht="10.199999999999999" x14ac:dyDescent="0.2"/>
    <row r="369" ht="10.199999999999999" x14ac:dyDescent="0.2"/>
    <row r="370" ht="10.199999999999999" x14ac:dyDescent="0.2"/>
    <row r="371" ht="10.199999999999999" x14ac:dyDescent="0.2"/>
    <row r="372" ht="10.199999999999999" x14ac:dyDescent="0.2"/>
    <row r="373" ht="10.199999999999999" x14ac:dyDescent="0.2"/>
    <row r="374" ht="10.199999999999999" x14ac:dyDescent="0.2"/>
    <row r="375" ht="10.199999999999999" x14ac:dyDescent="0.2"/>
    <row r="376" ht="10.199999999999999" x14ac:dyDescent="0.2"/>
    <row r="377" ht="10.199999999999999" x14ac:dyDescent="0.2"/>
    <row r="378" ht="10.199999999999999" x14ac:dyDescent="0.2"/>
    <row r="379" ht="10.199999999999999" x14ac:dyDescent="0.2"/>
    <row r="380" ht="10.199999999999999" x14ac:dyDescent="0.2"/>
    <row r="381" ht="10.199999999999999" x14ac:dyDescent="0.2"/>
    <row r="382" ht="10.199999999999999" x14ac:dyDescent="0.2"/>
    <row r="383" ht="10.199999999999999" x14ac:dyDescent="0.2"/>
    <row r="384" ht="10.199999999999999" x14ac:dyDescent="0.2"/>
    <row r="385" ht="10.199999999999999" x14ac:dyDescent="0.2"/>
    <row r="386" ht="10.199999999999999" x14ac:dyDescent="0.2"/>
    <row r="387" ht="10.199999999999999" x14ac:dyDescent="0.2"/>
  </sheetData>
  <autoFilter ref="A10:G282" xr:uid="{F1E5E5DE-06F8-4C48-BD6F-50E8585FDD2B}"/>
  <phoneticPr fontId="4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992123F3ED4458D211F3215D79855" ma:contentTypeVersion="12" ma:contentTypeDescription="Crear nuevo documento." ma:contentTypeScope="" ma:versionID="3ec78013fdfe534af527891298d4da4a">
  <xsd:schema xmlns:xsd="http://www.w3.org/2001/XMLSchema" xmlns:xs="http://www.w3.org/2001/XMLSchema" xmlns:p="http://schemas.microsoft.com/office/2006/metadata/properties" xmlns:ns2="403d9627-c9d7-46e7-8017-e32baaff6d78" xmlns:ns3="a5716b0a-2c4e-4acc-bcd6-6466f35c189e" targetNamespace="http://schemas.microsoft.com/office/2006/metadata/properties" ma:root="true" ma:fieldsID="26c75f4f0edf87eb780dae8e1f7fd93c" ns2:_="" ns3:_="">
    <xsd:import namespace="403d9627-c9d7-46e7-8017-e32baaff6d78"/>
    <xsd:import namespace="a5716b0a-2c4e-4acc-bcd6-6466f35c18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9627-c9d7-46e7-8017-e32baaff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0202c90-e0a5-4dd3-83f4-bedda3fd8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16b0a-2c4e-4acc-bcd6-6466f35c18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82eac-4892-4499-97e5-748f0a1032b7}" ma:internalName="TaxCatchAll" ma:showField="CatchAllData" ma:web="a5716b0a-2c4e-4acc-bcd6-6466f35c18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3d9627-c9d7-46e7-8017-e32baaff6d78">
      <Terms xmlns="http://schemas.microsoft.com/office/infopath/2007/PartnerControls"/>
    </lcf76f155ced4ddcb4097134ff3c332f>
    <TaxCatchAll xmlns="a5716b0a-2c4e-4acc-bcd6-6466f35c189e" xsi:nil="true"/>
  </documentManagement>
</p:properties>
</file>

<file path=customXml/itemProps1.xml><?xml version="1.0" encoding="utf-8"?>
<ds:datastoreItem xmlns:ds="http://schemas.openxmlformats.org/officeDocument/2006/customXml" ds:itemID="{03403359-0361-47E8-92DE-7EE45A84A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48FABE-1D4A-4B81-AE8C-21F2990401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d9627-c9d7-46e7-8017-e32baaff6d78"/>
    <ds:schemaRef ds:uri="a5716b0a-2c4e-4acc-bcd6-6466f35c18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9F65E5-6ADB-4EF4-834A-FFFE04980BEE}">
  <ds:schemaRefs>
    <ds:schemaRef ds:uri="http://schemas.microsoft.com/office/2006/metadata/properties"/>
    <ds:schemaRef ds:uri="http://schemas.microsoft.com/office/infopath/2007/PartnerControls"/>
    <ds:schemaRef ds:uri="05c4b2f2-e7fe-472d-91b0-057ba03b10e8"/>
    <ds:schemaRef ds:uri="9a596f3c-466b-4833-ade8-25dba75eaf48"/>
    <ds:schemaRef ds:uri="403d9627-c9d7-46e7-8017-e32baaff6d78"/>
    <ds:schemaRef ds:uri="a5716b0a-2c4e-4acc-bcd6-6466f35c18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Análisis de precios</vt:lpstr>
      <vt:lpstr>Cascada</vt:lpstr>
      <vt:lpstr>Precio</vt:lpstr>
      <vt:lpstr>Programa de trabajo</vt:lpstr>
      <vt:lpstr>Insumos</vt:lpstr>
      <vt:lpstr>Precio!Área_de_impresión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Vostro</dc:creator>
  <cp:keywords/>
  <dc:description/>
  <cp:lastModifiedBy>Mariano Vispo</cp:lastModifiedBy>
  <cp:revision/>
  <dcterms:created xsi:type="dcterms:W3CDTF">2016-05-19T21:58:14Z</dcterms:created>
  <dcterms:modified xsi:type="dcterms:W3CDTF">2026-04-23T14:35:05Z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0x0101008B1992123F3ED4458D211F3215D79855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