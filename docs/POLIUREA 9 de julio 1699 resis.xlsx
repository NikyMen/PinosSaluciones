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ristian\"/>
    </mc:Choice>
  </mc:AlternateContent>
  <xr:revisionPtr revIDLastSave="0" documentId="8_{F90A4B4A-3F1B-4A46-952F-7819A0AFE2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álisis de precios" sheetId="8" r:id="rId1"/>
    <sheet name="Cascada" sheetId="2" r:id="rId2"/>
    <sheet name="Precio" sheetId="14" r:id="rId3"/>
    <sheet name="Programa de trabajo" sheetId="15" r:id="rId4"/>
    <sheet name="Insumos" sheetId="7" r:id="rId5"/>
  </sheets>
  <definedNames>
    <definedName name="_xlnm._FilterDatabase" localSheetId="0" hidden="1">'Análisis de precios'!$A$10:$Q$10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F19" i="8"/>
  <c r="F18" i="8"/>
  <c r="F17" i="8"/>
  <c r="E22" i="8"/>
  <c r="E14" i="8"/>
  <c r="E28" i="8"/>
  <c r="E25" i="8"/>
  <c r="E24" i="8"/>
  <c r="E23" i="8"/>
  <c r="E21" i="8"/>
  <c r="E35" i="2"/>
  <c r="E34" i="2"/>
  <c r="E26" i="2"/>
  <c r="E25" i="2"/>
  <c r="F18" i="7" l="1"/>
  <c r="F17" i="7"/>
  <c r="F16" i="7"/>
  <c r="F12" i="7"/>
  <c r="E11" i="14"/>
  <c r="C11" i="14"/>
  <c r="B11" i="14"/>
  <c r="E10" i="14"/>
  <c r="I11" i="14" s="1"/>
  <c r="J11" i="14" s="1"/>
  <c r="J12" i="14" s="1"/>
  <c r="D10" i="14"/>
  <c r="C10" i="14"/>
  <c r="B10" i="14"/>
  <c r="F26" i="8"/>
  <c r="F27" i="8"/>
  <c r="O22" i="8" l="1"/>
  <c r="O13" i="8"/>
  <c r="O14" i="8"/>
  <c r="O15" i="8"/>
  <c r="O16" i="8"/>
  <c r="N17" i="8"/>
  <c r="O17" i="8"/>
  <c r="N18" i="8"/>
  <c r="O18" i="8"/>
  <c r="N19" i="8"/>
  <c r="O19" i="8"/>
  <c r="N22" i="8"/>
  <c r="N23" i="8"/>
  <c r="P23" i="8" s="1"/>
  <c r="O23" i="8"/>
  <c r="N24" i="8"/>
  <c r="O24" i="8"/>
  <c r="N25" i="8"/>
  <c r="O25" i="8"/>
  <c r="P25" i="8"/>
  <c r="N26" i="8"/>
  <c r="P26" i="8" s="1"/>
  <c r="O26" i="8"/>
  <c r="N27" i="8"/>
  <c r="P27" i="8" s="1"/>
  <c r="O27" i="8"/>
  <c r="N28" i="8"/>
  <c r="O28" i="8"/>
  <c r="N21" i="8"/>
  <c r="G14" i="8"/>
  <c r="G23" i="8"/>
  <c r="G26" i="8"/>
  <c r="O21" i="8"/>
  <c r="P17" i="8" l="1"/>
  <c r="P28" i="8"/>
  <c r="P22" i="8"/>
  <c r="P19" i="8"/>
  <c r="P18" i="8"/>
  <c r="P24" i="8"/>
  <c r="N14" i="8"/>
  <c r="P14" i="8" s="1"/>
  <c r="R22" i="8"/>
  <c r="S22" i="8" s="1"/>
  <c r="G21" i="8"/>
  <c r="G24" i="8"/>
  <c r="G27" i="8"/>
  <c r="G22" i="8"/>
  <c r="G28" i="8"/>
  <c r="E13" i="8"/>
  <c r="E12" i="8"/>
  <c r="D11" i="14"/>
  <c r="N13" i="8" l="1"/>
  <c r="P13" i="8" s="1"/>
  <c r="G25" i="8"/>
  <c r="G20" i="8" s="1"/>
  <c r="G12" i="8"/>
  <c r="O12" i="8"/>
  <c r="R13" i="8" l="1"/>
  <c r="S13" i="8" s="1"/>
  <c r="R21" i="8"/>
  <c r="S21" i="8" s="1"/>
  <c r="P21" i="8"/>
  <c r="H20" i="8"/>
  <c r="G13" i="8"/>
  <c r="N12" i="8"/>
  <c r="R12" i="8" s="1"/>
  <c r="S12" i="8" s="1"/>
  <c r="E15" i="8"/>
  <c r="E16" i="8"/>
  <c r="G18" i="8"/>
  <c r="G17" i="8"/>
  <c r="N16" i="8" l="1"/>
  <c r="P16" i="8" s="1"/>
  <c r="N15" i="8"/>
  <c r="P15" i="8" s="1"/>
  <c r="P12" i="8"/>
  <c r="F13" i="2" s="1"/>
  <c r="G15" i="8"/>
  <c r="G16" i="8"/>
  <c r="G19" i="8"/>
  <c r="F12" i="2" l="1"/>
  <c r="P30" i="8"/>
  <c r="G11" i="8"/>
  <c r="H11" i="8" l="1"/>
  <c r="H30" i="8" s="1"/>
  <c r="E14" i="7" s="1"/>
  <c r="G14" i="7" s="1"/>
  <c r="F45" i="2"/>
  <c r="F44" i="2"/>
  <c r="E13" i="7" l="1"/>
  <c r="G13" i="7" s="1"/>
  <c r="E11" i="7"/>
  <c r="G11" i="7" s="1"/>
  <c r="E19" i="7"/>
  <c r="G19" i="7" s="1"/>
  <c r="E18" i="7"/>
  <c r="G18" i="7" s="1"/>
  <c r="E17" i="7"/>
  <c r="G17" i="7" s="1"/>
  <c r="E15" i="7"/>
  <c r="G15" i="7" s="1"/>
  <c r="E16" i="7"/>
  <c r="G16" i="7" s="1"/>
  <c r="E12" i="7"/>
  <c r="G12" i="7" s="1"/>
  <c r="G34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9" i="2"/>
  <c r="G50" i="2"/>
  <c r="G51" i="2"/>
  <c r="G52" i="2"/>
  <c r="G53" i="2"/>
  <c r="G54" i="2"/>
  <c r="G55" i="2"/>
  <c r="G56" i="2"/>
  <c r="G57" i="2"/>
  <c r="G58" i="2"/>
  <c r="G59" i="2"/>
  <c r="G60" i="2"/>
  <c r="G17" i="2"/>
  <c r="G20" i="7" l="1"/>
  <c r="F14" i="2"/>
  <c r="G14" i="2" s="1"/>
  <c r="G13" i="2" l="1"/>
  <c r="G12" i="2"/>
  <c r="F48" i="2" s="1"/>
  <c r="G48" i="2" s="1"/>
  <c r="G16" i="2" s="1"/>
  <c r="G11" i="2" l="1"/>
  <c r="G62" i="2" l="1"/>
  <c r="G65" i="2" s="1"/>
  <c r="H16" i="2"/>
  <c r="G64" i="2" l="1"/>
  <c r="G67" i="2" s="1"/>
  <c r="G71" i="2" s="1"/>
  <c r="G70" i="2" l="1"/>
  <c r="G69" i="2" s="1"/>
  <c r="G73" i="2" s="1"/>
  <c r="K74" i="2" s="1"/>
  <c r="G76" i="2" l="1"/>
  <c r="G81" i="2"/>
  <c r="G80" i="2" l="1"/>
  <c r="G75" i="2"/>
  <c r="G78" i="2" s="1"/>
  <c r="G83" i="2" l="1"/>
  <c r="K80" i="2" s="1"/>
  <c r="H83" i="2" l="1"/>
  <c r="F11" i="14" l="1"/>
  <c r="G11" i="14" s="1"/>
  <c r="F10" i="14"/>
  <c r="G10" i="14" s="1"/>
  <c r="G12" i="14" l="1"/>
</calcChain>
</file>

<file path=xl/sharedStrings.xml><?xml version="1.0" encoding="utf-8"?>
<sst xmlns="http://schemas.openxmlformats.org/spreadsheetml/2006/main" count="310" uniqueCount="145">
  <si>
    <t>CLIENTE:</t>
  </si>
  <si>
    <t>OBRA:</t>
  </si>
  <si>
    <t>FECHA:</t>
  </si>
  <si>
    <t>CONTACTO:</t>
  </si>
  <si>
    <t>ANÁLISIS DE PRECIOS</t>
  </si>
  <si>
    <t>RUBRO</t>
  </si>
  <si>
    <t>ÍTEM</t>
  </si>
  <si>
    <t>DENOMINACIÓN</t>
  </si>
  <si>
    <t>UNIDAD</t>
  </si>
  <si>
    <t>CANTIDAD</t>
  </si>
  <si>
    <t>PRECIO UNITARIO</t>
  </si>
  <si>
    <t>PRECIO PARCIAL</t>
  </si>
  <si>
    <t>PRECIO RUBRO</t>
  </si>
  <si>
    <t>% ITEM</t>
  </si>
  <si>
    <t>% RUBRO</t>
  </si>
  <si>
    <t>Cantidad parcial</t>
  </si>
  <si>
    <t>Precio unitario</t>
  </si>
  <si>
    <t>Precio parcial</t>
  </si>
  <si>
    <t>M2</t>
  </si>
  <si>
    <t>CANT PERSONAS</t>
  </si>
  <si>
    <t>DIAS TOTALES</t>
  </si>
  <si>
    <t>DIAS DE OBRA</t>
  </si>
  <si>
    <t>MO</t>
  </si>
  <si>
    <t xml:space="preserve">Oficial </t>
  </si>
  <si>
    <t>hs</t>
  </si>
  <si>
    <t xml:space="preserve">Ayudante </t>
  </si>
  <si>
    <t>MAT</t>
  </si>
  <si>
    <t>lts</t>
  </si>
  <si>
    <t xml:space="preserve">Pincel </t>
  </si>
  <si>
    <t>U</t>
  </si>
  <si>
    <t xml:space="preserve">Rodillo </t>
  </si>
  <si>
    <t>Primer pu 1000</t>
  </si>
  <si>
    <t>kg</t>
  </si>
  <si>
    <t xml:space="preserve">Alifatico </t>
  </si>
  <si>
    <t>ITEM</t>
  </si>
  <si>
    <t>DENOMINACION</t>
  </si>
  <si>
    <t>PRECIO UNIT SIN IVA</t>
  </si>
  <si>
    <t>PRECIO PARCIAL SIN IVA</t>
  </si>
  <si>
    <t>1</t>
  </si>
  <si>
    <t>COSTO - COSTO</t>
  </si>
  <si>
    <t>MATERIALES</t>
  </si>
  <si>
    <t>GL</t>
  </si>
  <si>
    <t>2</t>
  </si>
  <si>
    <t>MANO DE OBRA</t>
  </si>
  <si>
    <t>3</t>
  </si>
  <si>
    <t>EQUIPOS</t>
  </si>
  <si>
    <t>GASTOS GENERALES DIRECTOS</t>
  </si>
  <si>
    <t>Sueldos / Honorarios de Dirección de Obra</t>
  </si>
  <si>
    <t xml:space="preserve">Mes </t>
  </si>
  <si>
    <t>Viáticos de Dirección de Obra</t>
  </si>
  <si>
    <t xml:space="preserve">Dia </t>
  </si>
  <si>
    <t>Alojamiento para Dirección de Obra</t>
  </si>
  <si>
    <t>Combustible para movilidad de Dirección de Obra</t>
  </si>
  <si>
    <t>Km</t>
  </si>
  <si>
    <t>Mantenimiento vehicular de Dirección de Obra</t>
  </si>
  <si>
    <t xml:space="preserve">Km </t>
  </si>
  <si>
    <t>Pasajes para Dirección de Obra</t>
  </si>
  <si>
    <t>Gastos varios de movilidad -Estacionamiento, peajes, etc-</t>
  </si>
  <si>
    <t>Librería</t>
  </si>
  <si>
    <t>Seguros para Dirección de Obra</t>
  </si>
  <si>
    <t>Indumentaria y EPP para Dirección de Obra</t>
  </si>
  <si>
    <t>JUEGO</t>
  </si>
  <si>
    <t>Viáticos del personal operativo</t>
  </si>
  <si>
    <t>DIA</t>
  </si>
  <si>
    <t>Alojamiento para personal operativo</t>
  </si>
  <si>
    <t>Combustible para movilidad de personal operativo</t>
  </si>
  <si>
    <t>KM</t>
  </si>
  <si>
    <t>Mantenimiento vehicular para personal operativo</t>
  </si>
  <si>
    <t xml:space="preserve">KM </t>
  </si>
  <si>
    <t>Pasajes para personal operativo</t>
  </si>
  <si>
    <t>Seguros para el personal operativo</t>
  </si>
  <si>
    <t>MES</t>
  </si>
  <si>
    <t>Indumentaria y EPP para el personal operativo</t>
  </si>
  <si>
    <t>Programa de Higiene y Seguridad</t>
  </si>
  <si>
    <t>Sueldos / Honorarios de Resposable de Higiene y Seguridad</t>
  </si>
  <si>
    <t>Elementos de señalización</t>
  </si>
  <si>
    <t>Fletes de materiales</t>
  </si>
  <si>
    <t>Viáticos de chóferes</t>
  </si>
  <si>
    <t xml:space="preserve">DIA </t>
  </si>
  <si>
    <t>Alojamiento de chóferes</t>
  </si>
  <si>
    <t>Mantenimiento vehicular para personal de compras</t>
  </si>
  <si>
    <t>Pasajes para personal de compras</t>
  </si>
  <si>
    <t>Impuesto al cheque</t>
  </si>
  <si>
    <t>Sueldo / Honorarios de Pañolero</t>
  </si>
  <si>
    <t>Viáticos de Pañolero</t>
  </si>
  <si>
    <t>Alojamiento para Pañolero</t>
  </si>
  <si>
    <t>Gastos de movilidad de Pañolero</t>
  </si>
  <si>
    <t>Sellados</t>
  </si>
  <si>
    <t>Garantías para la Oferta</t>
  </si>
  <si>
    <t>Garantías para la Ejecución</t>
  </si>
  <si>
    <t>Fondo de Reparo</t>
  </si>
  <si>
    <t>Impresiones y Librería para presentación de ofertas</t>
  </si>
  <si>
    <t xml:space="preserve">Representacion Tecnica </t>
  </si>
  <si>
    <t>COSTO</t>
  </si>
  <si>
    <t>4</t>
  </si>
  <si>
    <t>GASTOS GENERALES INDIRECTOS</t>
  </si>
  <si>
    <t>%</t>
  </si>
  <si>
    <t>5</t>
  </si>
  <si>
    <t>SUB TOTAL 1</t>
  </si>
  <si>
    <t>6</t>
  </si>
  <si>
    <t>BENEFICIOS</t>
  </si>
  <si>
    <t>COSTO FINANCIERO</t>
  </si>
  <si>
    <t xml:space="preserve"> </t>
  </si>
  <si>
    <t>7</t>
  </si>
  <si>
    <t>SUB TOTAL 2</t>
  </si>
  <si>
    <t>x M2</t>
  </si>
  <si>
    <t>8</t>
  </si>
  <si>
    <t>IMPUESTOS</t>
  </si>
  <si>
    <t xml:space="preserve">INGRESOS BRUTOS </t>
  </si>
  <si>
    <t>SUB TOTAL 3</t>
  </si>
  <si>
    <t>x M2 con iva</t>
  </si>
  <si>
    <t>IVA</t>
  </si>
  <si>
    <t>9</t>
  </si>
  <si>
    <t>PRECIO</t>
  </si>
  <si>
    <t xml:space="preserve">TOTAL </t>
  </si>
  <si>
    <t>bersell</t>
  </si>
  <si>
    <t xml:space="preserve">APLICACIÓN DE DESMOPOL + ARENA </t>
  </si>
  <si>
    <t xml:space="preserve">APLICACIÓN DE DESMOPOL + SELLADO </t>
  </si>
  <si>
    <t>ARENA</t>
  </si>
  <si>
    <t>M3</t>
  </si>
  <si>
    <t xml:space="preserve">Poliurea en caliente </t>
  </si>
  <si>
    <t>Objeto de la obra:</t>
  </si>
  <si>
    <t>Impermeabilización sobre superficie de losa.</t>
  </si>
  <si>
    <t>Descripción de los trabajos:</t>
  </si>
  <si>
    <t>2. Imprimación:</t>
  </si>
  <si>
    <t>3. Impermeabilización:</t>
  </si>
  <si>
    <t>DIA 1</t>
  </si>
  <si>
    <t>DIA 2</t>
  </si>
  <si>
    <t>DIA 3</t>
  </si>
  <si>
    <t>DETALLE TÉCNICO DE LOS TRABAJOS A REALIZAR</t>
  </si>
  <si>
    <t>Provisión de materiales, equipos y mano de obra especializada</t>
  </si>
  <si>
    <t>1. Preparación de la superficie:</t>
  </si>
  <si>
    <t>Se realizará una limpieza manual exhaustiva de toda la superficie a intervenir, eliminando polvo, suciedad, restos de materiales y cualquier tipo de contaminante que pueda afectar la adherencia.</t>
  </si>
  <si>
    <t>Posteriormente, se procederá al sellado de grietas y fisuras mediante la aplicación de sellador elastomérico de alta resistencia.</t>
  </si>
  <si>
    <t>La superficie deberá quedar seca, firme, cohesionada y libre de partículas sueltas o humedad residual, condiciones indispensables para garantizar la correcta adherencia del sistema impermeabilizante.</t>
  </si>
  <si>
    <t>Se aplicará una capa uniforme de imprimante promotor de adherencia, compatible con sistemas de base poliuretánica, asegurando la consolidación del sustrato y su correcta penetración en porosidades.</t>
  </si>
  <si>
    <t>Ejecución de sistema de impermeabilización mediante aplicación de poliurea en caliente, proyectada con equipo de alta presión y temperatura controlada.</t>
  </si>
  <si>
    <t>Este sistema permite generar una membrana continua, sin juntas, garantizando una óptima aislación hidráulica.</t>
  </si>
  <si>
    <t>Se destaca por su alta elasticidad, excelente adherencia y resistencia a los rayos UV, siendo apta para soportes como hormigón, mampostería y chapa galvanizada.</t>
  </si>
  <si>
    <t>Forma de pago:</t>
  </si>
  <si>
    <t>50% de anticipo al momento de la aprobación del presupuesto.</t>
  </si>
  <si>
    <t>Saldo restante a abonar dentro de los 30 días posteriores a la finalización de los trabajos.</t>
  </si>
  <si>
    <r>
      <t>Plazo estimado de ejecución:</t>
    </r>
    <r>
      <rPr>
        <sz val="8"/>
        <color theme="1"/>
        <rFont val="Arial"/>
        <family val="2"/>
      </rPr>
      <t xml:space="preserve"> 7 días habiles.</t>
    </r>
  </si>
  <si>
    <t>4. Terminación protectora:Aplicación de recubrimiento alifático de protección, destinado a mejorar la resistencia a la radiación UV y prolongar la vida útil del sistema impermeabilizante SUP 97.60M2.Como terminación, se realizará el espolvoreo de arena SUP: 62.5M2 , a fin de generar una superficie rugosa que mejore la adherencia para la posterior contruccion .</t>
  </si>
  <si>
    <t>POLIUREA 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</si>
</sst>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&quot;$&quot;\ #,##0.00"/>
    <numFmt numFmtId="166" formatCode="dd/mm/yyyy;@"/>
    <numFmt numFmtId="167" formatCode="_-* #,##0.00\ &quot;Pts&quot;_-;\-* #,##0.00\ &quot;Pts&quot;_-;_-* &quot;-&quot;??\ &quot;Pts&quot;_-;_-@_-"/>
    <numFmt numFmtId="168" formatCode="_ [$€-2]\ * #,##0.00_ ;_ [$€-2]\ * \-#,##0.00_ ;_ [$€-2]\ * &quot;-&quot;??_ "/>
    <numFmt numFmtId="169" formatCode="#.00"/>
    <numFmt numFmtId="170" formatCode="&quot;$&quot;#.00"/>
    <numFmt numFmtId="171" formatCode="\$#,##0\ ;\(\$#,##0\)"/>
    <numFmt numFmtId="172" formatCode="0.0"/>
    <numFmt numFmtId="173" formatCode="_ * #,##0.00_ ;_ * \-#,##0.00_ ;_ * &quot;-&quot;??_ ;_ @_ "/>
  </numFmts>
  <fonts count="18" x14ac:knownFonts="1">
    <font>
      <sz val="8"/>
      <color theme="1"/>
      <name val="Arial"/>
      <family val="2"/>
    </font>
    <font>
      <sz val="16"/>
      <color indexed="48"/>
      <name val="Times New Roman"/>
      <family val="1"/>
    </font>
    <font>
      <sz val="9"/>
      <color indexed="4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</font>
    <font>
      <b/>
      <sz val="1"/>
      <color indexed="8"/>
      <name val="Courier"/>
    </font>
    <font>
      <i/>
      <sz val="1"/>
      <color indexed="8"/>
      <name val="Courie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168" fontId="5" fillId="0" borderId="0" applyFon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5" fillId="0" borderId="0" applyFont="0" applyFill="0" applyBorder="0" applyAlignment="0" applyProtection="0"/>
    <xf numFmtId="169" fontId="8" fillId="0" borderId="0">
      <protection locked="0"/>
    </xf>
    <xf numFmtId="169" fontId="11" fillId="0" borderId="0">
      <protection locked="0"/>
    </xf>
    <xf numFmtId="4" fontId="8" fillId="0" borderId="0">
      <protection locked="0"/>
    </xf>
    <xf numFmtId="4" fontId="11" fillId="0" borderId="0">
      <protection locked="0"/>
    </xf>
    <xf numFmtId="173" fontId="1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0" fontId="8" fillId="0" borderId="0">
      <protection locked="0"/>
    </xf>
    <xf numFmtId="170" fontId="11" fillId="0" borderId="0">
      <protection locked="0"/>
    </xf>
    <xf numFmtId="171" fontId="5" fillId="0" borderId="0" applyFont="0" applyFill="0" applyBorder="0" applyAlignment="0" applyProtection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4" fillId="0" borderId="0" xfId="43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vertical="center"/>
    </xf>
    <xf numFmtId="10" fontId="14" fillId="0" borderId="0" xfId="43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17" fillId="0" borderId="0" xfId="4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14" fillId="0" borderId="0" xfId="43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center" indent="2"/>
    </xf>
    <xf numFmtId="165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9" fontId="0" fillId="0" borderId="0" xfId="43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72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left" vertical="center" wrapText="1"/>
    </xf>
    <xf numFmtId="2" fontId="3" fillId="3" borderId="0" xfId="0" applyNumberFormat="1" applyFont="1" applyFill="1" applyAlignment="1">
      <alignment horizontal="center" vertical="center" readingOrder="1"/>
    </xf>
    <xf numFmtId="2" fontId="3" fillId="3" borderId="0" xfId="0" applyNumberFormat="1" applyFont="1" applyFill="1" applyAlignment="1" applyProtection="1">
      <alignment horizontal="center" vertical="center" readingOrder="1"/>
      <protection locked="0"/>
    </xf>
    <xf numFmtId="165" fontId="3" fillId="3" borderId="0" xfId="0" applyNumberFormat="1" applyFont="1" applyFill="1" applyAlignment="1" applyProtection="1">
      <alignment horizontal="center" vertical="center"/>
      <protection locked="0"/>
    </xf>
    <xf numFmtId="165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0" fontId="17" fillId="6" borderId="1" xfId="0" applyFont="1" applyFill="1" applyBorder="1" applyAlignment="1">
      <alignment vertical="center"/>
    </xf>
    <xf numFmtId="165" fontId="17" fillId="6" borderId="1" xfId="0" applyNumberFormat="1" applyFont="1" applyFill="1" applyBorder="1" applyAlignment="1">
      <alignment vertical="center"/>
    </xf>
    <xf numFmtId="172" fontId="3" fillId="0" borderId="1" xfId="0" applyNumberFormat="1" applyFont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/>
    </xf>
    <xf numFmtId="165" fontId="17" fillId="7" borderId="1" xfId="0" applyNumberFormat="1" applyFont="1" applyFill="1" applyBorder="1" applyAlignment="1">
      <alignment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5" fontId="17" fillId="0" borderId="1" xfId="0" applyNumberFormat="1" applyFont="1" applyBorder="1"/>
    <xf numFmtId="17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7" borderId="0" xfId="0" applyFont="1" applyFill="1"/>
    <xf numFmtId="2" fontId="3" fillId="0" borderId="1" xfId="0" applyNumberFormat="1" applyFont="1" applyBorder="1" applyAlignment="1">
      <alignment horizontal="center" vertical="center" wrapText="1"/>
    </xf>
    <xf numFmtId="8" fontId="0" fillId="0" borderId="0" xfId="0" applyNumberFormat="1"/>
    <xf numFmtId="44" fontId="0" fillId="0" borderId="0" xfId="52" applyFont="1" applyAlignment="1">
      <alignment vertical="center"/>
    </xf>
    <xf numFmtId="44" fontId="3" fillId="0" borderId="0" xfId="52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/>
    <xf numFmtId="0" fontId="3" fillId="2" borderId="1" xfId="0" applyFont="1" applyFill="1" applyBorder="1"/>
    <xf numFmtId="0" fontId="3" fillId="0" borderId="1" xfId="0" applyFont="1" applyBorder="1"/>
    <xf numFmtId="165" fontId="0" fillId="0" borderId="4" xfId="0" applyNumberFormat="1" applyBorder="1"/>
    <xf numFmtId="2" fontId="3" fillId="0" borderId="0" xfId="0" applyNumberFormat="1" applyFont="1"/>
    <xf numFmtId="0" fontId="17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53">
    <cellStyle name="Cabecera 1" xfId="1" xr:uid="{00000000-0005-0000-0000-000000000000}"/>
    <cellStyle name="Cabecera 2" xfId="2" xr:uid="{00000000-0005-0000-0000-000001000000}"/>
    <cellStyle name="Dia" xfId="3" xr:uid="{00000000-0005-0000-0000-000003000000}"/>
    <cellStyle name="Dia 2" xfId="4" xr:uid="{00000000-0005-0000-0000-000004000000}"/>
    <cellStyle name="Encabez1" xfId="5" xr:uid="{00000000-0005-0000-0000-000005000000}"/>
    <cellStyle name="Encabez1 2" xfId="6" xr:uid="{00000000-0005-0000-0000-000006000000}"/>
    <cellStyle name="Encabez2" xfId="7" xr:uid="{00000000-0005-0000-0000-000007000000}"/>
    <cellStyle name="Encabez2 2" xfId="8" xr:uid="{00000000-0005-0000-0000-000008000000}"/>
    <cellStyle name="Euro" xfId="9" xr:uid="{00000000-0005-0000-0000-000009000000}"/>
    <cellStyle name="F2" xfId="10" xr:uid="{00000000-0005-0000-0000-00000A000000}"/>
    <cellStyle name="F2 2" xfId="11" xr:uid="{00000000-0005-0000-0000-00000B000000}"/>
    <cellStyle name="F3" xfId="12" xr:uid="{00000000-0005-0000-0000-00000C000000}"/>
    <cellStyle name="F3 2" xfId="13" xr:uid="{00000000-0005-0000-0000-00000D000000}"/>
    <cellStyle name="F4" xfId="14" xr:uid="{00000000-0005-0000-0000-00000E000000}"/>
    <cellStyle name="F4 2" xfId="15" xr:uid="{00000000-0005-0000-0000-00000F000000}"/>
    <cellStyle name="F5" xfId="16" xr:uid="{00000000-0005-0000-0000-000010000000}"/>
    <cellStyle name="F5 2" xfId="17" xr:uid="{00000000-0005-0000-0000-000011000000}"/>
    <cellStyle name="F6" xfId="18" xr:uid="{00000000-0005-0000-0000-000012000000}"/>
    <cellStyle name="F6 2" xfId="19" xr:uid="{00000000-0005-0000-0000-000013000000}"/>
    <cellStyle name="F7" xfId="20" xr:uid="{00000000-0005-0000-0000-000014000000}"/>
    <cellStyle name="F7 2" xfId="21" xr:uid="{00000000-0005-0000-0000-000015000000}"/>
    <cellStyle name="F8" xfId="22" xr:uid="{00000000-0005-0000-0000-000016000000}"/>
    <cellStyle name="F8 2" xfId="23" xr:uid="{00000000-0005-0000-0000-000017000000}"/>
    <cellStyle name="Fecha" xfId="24" xr:uid="{00000000-0005-0000-0000-000018000000}"/>
    <cellStyle name="Fijo" xfId="25" xr:uid="{00000000-0005-0000-0000-000019000000}"/>
    <cellStyle name="Fijo 2" xfId="26" xr:uid="{00000000-0005-0000-0000-00001A000000}"/>
    <cellStyle name="Financiero" xfId="27" xr:uid="{00000000-0005-0000-0000-00001B000000}"/>
    <cellStyle name="Financiero 2" xfId="28" xr:uid="{00000000-0005-0000-0000-00001C000000}"/>
    <cellStyle name="Millares 2" xfId="29" xr:uid="{00000000-0005-0000-0000-00001E000000}"/>
    <cellStyle name="Moneda" xfId="52" builtinId="4"/>
    <cellStyle name="Moneda 2" xfId="30" xr:uid="{00000000-0005-0000-0000-000020000000}"/>
    <cellStyle name="Moneda 3" xfId="31" xr:uid="{00000000-0005-0000-0000-000021000000}"/>
    <cellStyle name="Moneda 3 2" xfId="32" xr:uid="{00000000-0005-0000-0000-000022000000}"/>
    <cellStyle name="Moneda 3 3" xfId="33" xr:uid="{00000000-0005-0000-0000-000023000000}"/>
    <cellStyle name="Monetario" xfId="34" xr:uid="{00000000-0005-0000-0000-000024000000}"/>
    <cellStyle name="Monetario 2" xfId="35" xr:uid="{00000000-0005-0000-0000-000025000000}"/>
    <cellStyle name="Monetario0" xfId="36" xr:uid="{00000000-0005-0000-0000-000026000000}"/>
    <cellStyle name="Normal" xfId="0" builtinId="0"/>
    <cellStyle name="Normal 2" xfId="37" xr:uid="{00000000-0005-0000-0000-000028000000}"/>
    <cellStyle name="Normal 3" xfId="38" xr:uid="{00000000-0005-0000-0000-000029000000}"/>
    <cellStyle name="Normal 4" xfId="39" xr:uid="{00000000-0005-0000-0000-00002A000000}"/>
    <cellStyle name="Normal 4 2" xfId="40" xr:uid="{00000000-0005-0000-0000-00002B000000}"/>
    <cellStyle name="Normal 4 3" xfId="41" xr:uid="{00000000-0005-0000-0000-00002C000000}"/>
    <cellStyle name="Normal 5" xfId="42" xr:uid="{00000000-0005-0000-0000-00002D000000}"/>
    <cellStyle name="Porcentaje" xfId="43" builtinId="5"/>
    <cellStyle name="Porcentaje 2" xfId="44" xr:uid="{00000000-0005-0000-0000-000030000000}"/>
    <cellStyle name="Porcentaje 3" xfId="45" xr:uid="{00000000-0005-0000-0000-000031000000}"/>
    <cellStyle name="Porcentaje 3 2" xfId="46" xr:uid="{00000000-0005-0000-0000-000032000000}"/>
    <cellStyle name="Porcentaje 3 3" xfId="47" xr:uid="{00000000-0005-0000-0000-000033000000}"/>
    <cellStyle name="Porcentual 2" xfId="48" xr:uid="{00000000-0005-0000-0000-000034000000}"/>
    <cellStyle name="Porcentual 3" xfId="49" xr:uid="{00000000-0005-0000-0000-000035000000}"/>
    <cellStyle name="Punto" xfId="50" xr:uid="{00000000-0005-0000-0000-000036000000}"/>
    <cellStyle name="Punto0" xfId="51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224BC-52A0-49BF-AADE-DB5A6AED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4042EAF-CDBD-4488-9335-2841285C0761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76200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F6E1152-302A-4ED9-A255-22E30F99DF0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2</xdr:row>
      <xdr:rowOff>85649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2E7BF7-85C3-45EC-852C-4B2D9BF8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DF4E92-21CC-4321-910D-6D8A22EC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6EEFE7-538E-4864-B03E-243C8E75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76649A-59F3-4D10-A56D-5D42C100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B0186B-FD3A-4AB6-A11B-C5A8E5469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469694-ACBB-4E2B-936B-31A034AF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96033-D3F2-4355-B8A8-17EE1B15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28D680-CF76-4FC7-9C23-C94E2006D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49A286-2A9C-4ED0-A11D-8C538AAB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D8E705-1992-49E0-A51E-994D39D9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42792E-12AA-4D50-989A-7347574D2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720B1C-52EA-439A-9F99-0C971D2A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51CC59-BD91-4A75-BDEB-EDE09AC9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16C0A1A-92D9-45A7-8B6C-D0B174B0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98A51D7-244C-4C52-9114-FD11433DB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5A70EF6-788B-4821-AAB3-B6C8C2BC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077832F-F472-46EC-A0B8-4B6BA0BB3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4322E67-E859-4AE6-8546-33B01CCC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177C5C2-6B9D-4570-AC13-3E7914CB6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76182F9-569A-4047-90A5-ABE6BC61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C518076-674E-4A16-B6B5-FD3EAD1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1DF928-0E25-41B2-91FE-F55643E3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83936A5-4FB3-4426-BE02-5B0E18E3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D7399B6-A4EC-4A41-B855-D0B0171D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C4E331C-B53E-4ED0-853E-527C53754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8EFA08C-C7C3-42D7-A69F-50CB0966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16C0427-D352-4FF7-B688-7804C308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3BA98CF-B7D8-475C-96DC-737B16629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17EC319-9F25-42C4-9867-6A847BE2F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50F959E-03CF-431C-973F-75DEB2767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8CA673C-1CAA-4734-A358-BE48FE8F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1F45249-240E-4E2E-BA2E-C24208FD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296AC92-F115-4265-B027-842756546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1E981EC-FAC6-4757-8254-140DA51D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1AA2775-678D-4DF1-B72E-F8CA1CDA5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BFDA2F-28E4-476E-A447-6DF8849E0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15E61AD-5042-483B-9B51-F6C117845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8A18242D-7BE8-4DC1-BB50-98CD0904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0DD2A06-1107-4D62-95AA-767CCAFB2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81B080AB-9BA6-48E8-99FA-B5D292F5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DEBA596-F371-4FF2-9543-F2A23C5B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835B2E9-7138-44E3-9458-1F5814081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942E41B-2E73-43F5-8E41-A5046684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15821244-906F-4FF4-8F2C-D07E123D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E750D93-86CA-426A-86B7-77B7C424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327A662F-04B3-4B87-9DCD-CD790AE44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6118F43-1C5B-47F6-917F-D65F3DD1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C6EA2954-592A-4F5F-9100-7B62D782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4B96C10E-11F8-4231-AEA6-DFFE21D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86E506B3-CF7E-43BC-89C9-52335A245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8440DD-5607-49F0-89A1-E4C648E5F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70B5363-50E1-4B8F-BCB1-620EBB2B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736D37CB-8A62-400D-AD4A-BF3DFBD98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0324206-5DF6-4538-B86F-722FC06E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ECF09E9F-47C4-4C32-BB05-82B42BA7C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FDA16AD-3C27-43C8-AC61-A94CABB4C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FEA1D2E-1685-43EC-9D1A-41C92A09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601D62D3-1620-4D59-8BF4-797D1F3E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C66AE812-C079-4A73-B001-DDF73A01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890E2D4C-A6CA-4209-8A33-E3F7C15E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52A7C894-C4A7-4A4F-9B11-DE7C745B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99FF07E9-6A78-4BD0-9E6E-5B68E08E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E8C97B01-1175-49CB-AA28-45B11ED4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F5D4B364-B991-4E55-B6C1-28204CB47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46AB4DA-2B8D-45A5-A877-85D54FD9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B627666-49C4-4811-93AA-2CC291779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FA47F89B-E3A1-4839-9B38-9F0F13DA7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BC310C22-45C4-4F45-8C6E-60B450DED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CDF633C0-7531-4474-BB5D-D332E5C1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131E8AF8-D2FF-44F3-A09D-A81FD794E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15BDFEC-980F-4CC4-ABF3-91B064F9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CE55A09F-8359-4C5F-B1F2-B84CCDC4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AB3CB732-45AB-4EA4-8663-25FD63D30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B69DCB8-6550-473F-BA04-0288A9994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49E7595-01B9-41B1-B1BF-82BB9E958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79D5FB68-B2AF-465E-8FC5-B47E2C470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CA88CB15-0CA3-4B8C-B544-99F1240B3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D126E666-7E47-4469-8C13-7888C63F9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7F3DF14D-DC60-41AB-A60C-A7481EFB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172ADF7B-0F7D-4A33-8A8E-AC8A4E760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C315877E-7771-4697-9053-DFF7E0C6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C1A7A02C-11CB-4A5C-A31D-2A5AF5B9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D92FE1F8-851C-458A-9612-A9096339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DFF12EB2-3961-4965-B22C-7225BD22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308AA4B-6323-4F89-BF06-59507E80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281D0087-20C4-4CAE-AEB5-54ADC583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8400D069-4F1B-450D-A4C8-39448CA63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6F88AE8A-E2BE-4832-B875-7C27B16A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5FD541D-283A-4228-9369-75E445D98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3B65280A-BCA8-41BD-8F4A-C1E55C9E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EEE5399-01FB-4D28-AFC0-735DA4BE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C98DECB2-86B3-4DA2-A7AA-D0ABCF21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28CFA8D1-A593-4C46-9A9B-BB62B99D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F3FC9796-56B1-4B6D-8AD6-79F9888ED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3A84A615-BE60-409C-AE63-0FFB0E47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6858C824-0D1A-4A3E-85AA-4942B4804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8EFBDCC8-F747-41BC-AD2C-0B1C3C575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FB3B7DB8-A59B-45BE-A891-10D024E0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8D74506B-FC7B-4DD3-964A-9A2128A2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47217EBC-A427-41DF-ABF9-E2FAB918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3B0A660D-3D88-445C-B055-E52AFBA9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939B746C-182E-44AB-8B86-E73E90A1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A105E85E-6682-4C40-AB90-39821BD33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8407CBA1-F19F-4AA6-8FD7-BDBD3361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71BBA415-2425-46F8-9462-2F9B05359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13283DED-07D5-4B3E-86C7-3897B97BB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BE6ED883-F6E4-4701-B76C-C8F9894F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D8699FA6-F776-422D-BB9F-9E23CE76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D25A710E-4AC5-4D2A-A254-160F46EF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8E76AEC6-D022-48AE-80DF-6C39819C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3388E02-A884-4A67-847D-E42D45C2C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D7500AC9-548C-4CDB-BFF6-9A4DA5AD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B8910AB8-2F8C-4516-B5FE-EC8EB0D40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E4DD0461-07C6-4BB6-B524-1EDC00D84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0FB0BBB7-6071-4497-9F5F-FFF23EC54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507EA082-6BBD-450E-9CBB-5803577D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4730C056-048C-4DD5-8B64-A9CEC54A4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CF694753-0BB4-4C61-A7BB-D829D8AF5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4BF97235-D7A5-4B1B-885E-BCCE112D8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43E72EEB-51F8-4212-92D5-8578F291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C727E9CF-EBE6-4E45-BB6B-2319EDC2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BFBB13E5-C7D2-4B76-B6B2-F008C4F22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FD40C794-6EBF-4C73-866C-1909C6E1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0AAB3C99-0E17-4091-817C-EF9623196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8ACCD983-E5DB-4079-A79C-7BCF4A5F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3138BF98-1691-44CE-96E5-8B86A73C8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608B312A-26AC-4022-A698-486A04195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69FB218F-7FD6-48BD-90AF-A19E5974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66964209-CE12-4D56-86AA-B07147B4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F2340593-E5CB-4AC9-BF92-CB0324B3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6DF1FE6F-BFFE-46CE-A5C8-ECAF4259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49A0EE1-D38F-4E3F-8823-DE13DA90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0F53B396-ED0B-4843-82CF-234412A6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1AC2BB81-D10A-41CB-9597-0CD10E64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4AE9BB13-3E67-4C79-B04E-C41F87CF4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2696082C-6E19-4664-AEA2-D8383F38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6C136780-6C01-41B9-8755-2E283B6A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50E35C54-7729-4A6D-AEB7-C585E53F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D326BC5E-E390-4786-846E-86DF1CF96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A9511E3-1E60-43AD-952F-8EA2539C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7742513B-A7EE-4E54-9EB0-61F9C102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37E9B612-FFF2-4347-B28E-CD649CF90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C7EDF457-931C-4673-B177-B067E678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5F56F76E-8208-42B8-A6A6-32F1C6CF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735EA400-DEE0-460D-A568-D46728BA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471EC310-62AD-43CB-B6D9-E2574759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F96E7E73-E498-4D33-BF06-1A83DAF7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46F924A3-3AFB-4C09-87AB-30F96BBC0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7126FA2A-F5E2-4E52-95A5-EE88485B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DF1AC1AF-A46D-4210-9ECF-83659F759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020590CD-4434-4139-8A5E-48025C1B0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58854215-8162-46B1-B656-43B70F54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80FFE8F6-5934-4523-BCE8-3F8B99CB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62784CAF-D7BE-472C-A9D3-3E3FB49F8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D08899A7-C6E8-47ED-9DD4-EBA6971E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93D41D9-468E-4906-B0DF-A6DFF8FEC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56D2A671-C64D-4278-B62A-D9151604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BFD4FD87-D1E5-4A9A-A5AB-C300B154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34542931-A623-4131-8DBD-40693E1E5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00B09A14-981F-40C2-8273-9E5B5D85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968FAE0A-4485-4D95-AF4A-0D77FBCA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7C2A6597-6C08-4D85-934B-74B97D276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E5AB6868-06C1-4C39-BE2D-926190E1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67E63B83-8294-4131-9CFA-CA0AD4A1E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7826A2A7-0D5A-4DC5-B544-1A4984BE2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C98967D1-9D50-40B5-85A2-F0B87B12D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86BF4D7A-F083-4CD7-94AA-2EF3CBE3A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B805C92A-84EF-4D17-964C-12AD7C0A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FC4F25F4-30E4-40B6-AA73-C993122C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D805ED1F-A6C7-4FE9-BD08-431B8740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C8B1B9D2-1084-4B98-9F40-4EA6A5EF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5F3CA39C-8B34-4FCA-971F-34A38394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EDE0021F-CED7-4ABC-B8D5-FE61F5C8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38D58292-BC2D-4BD1-8592-51965628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DD1040D1-9BD0-469F-BDE0-8B9AF97B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544843A9-050A-43A4-9543-326F5803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87C5A89D-98DE-46DC-8251-666BB110F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AC93336E-C399-4DEA-829E-F820D7E70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3639B7B3-7699-4DF8-9571-64A861567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D3FFE3EB-E746-4681-8366-C311B2248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B10432CC-08D0-4CC7-9BB9-A4DDCC8EE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6ACCF998-F837-4A78-90E9-841E0513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1ACBAD74-E835-4850-BD10-BC7C1DF1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B523010A-1C99-44B3-A8A8-ABBEF155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CA180DD3-C5AC-4410-801D-589AA61A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97FFD89B-9264-43D8-A2EC-F5D9C69CE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B8E8ABE9-751C-467B-9587-505F0179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74B8006C-2BE5-4D08-B0CB-F0BD8AEF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D7BDDC14-DFEA-47B2-AEFE-703400A4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E08CAD97-7116-4AA8-A5C3-58A40020C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AAB796E2-B374-47BC-901A-BD7177816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DBAC8BF2-F10F-4EBA-97D9-1D3DAC426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31B804A8-C1B2-4B88-83C6-E88151A10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08C8A04C-9D2A-4694-B9A1-E279D49FF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38594FD8-9A31-4CE2-8613-89D5985C1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3722EDD4-0459-4A3A-9831-39EE74F8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D266B006-BC97-4BCF-9070-69860879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B43198E4-6884-43BA-ADE7-C4C41965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677882B6-3E2A-484D-9E84-EDB85232B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B7E10125-5908-4750-99A2-CB558865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133351</xdr:rowOff>
    </xdr:from>
    <xdr:to>
      <xdr:col>1</xdr:col>
      <xdr:colOff>493395</xdr:colOff>
      <xdr:row>1</xdr:row>
      <xdr:rowOff>142876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B61820-067B-49FF-9A82-4FE7ECC9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1"/>
          <a:ext cx="122872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78029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29A3C2-9598-47AA-9656-9074978FD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1100" cy="832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C02E89-655E-454E-80E5-E577968E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1100" cy="832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opLeftCell="A6" zoomScaleNormal="100" workbookViewId="0">
      <selection activeCell="E19" sqref="E19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21.85546875" style="18" customWidth="1"/>
    <col min="8" max="8" width="15.28515625" style="17" customWidth="1"/>
    <col min="9" max="10" width="14.140625" style="17" customWidth="1"/>
    <col min="11" max="12" width="12.85546875" customWidth="1"/>
    <col min="13" max="13" width="5.140625" customWidth="1"/>
    <col min="14" max="15" width="12.85546875" customWidth="1"/>
    <col min="16" max="16" width="19.42578125" customWidth="1"/>
    <col min="17" max="17" width="15.7109375" bestFit="1" customWidth="1"/>
    <col min="18" max="18" width="13.42578125" bestFit="1" customWidth="1"/>
    <col min="19" max="19" width="13.28515625" bestFit="1" customWidth="1"/>
  </cols>
  <sheetData>
    <row r="1" spans="1:19" s="15" customFormat="1" ht="44.25" customHeight="1" x14ac:dyDescent="0.2">
      <c r="A1" s="19"/>
      <c r="C1" s="16"/>
      <c r="D1" s="1"/>
      <c r="E1" s="1"/>
      <c r="F1" s="7"/>
      <c r="G1" s="7"/>
      <c r="H1" s="5"/>
      <c r="I1" s="5"/>
      <c r="J1" s="5"/>
      <c r="K1" s="20"/>
      <c r="L1" s="20"/>
      <c r="M1" s="16"/>
      <c r="N1" s="16"/>
      <c r="O1" s="16"/>
      <c r="P1" s="16"/>
    </row>
    <row r="2" spans="1:19" s="15" customFormat="1" ht="12" x14ac:dyDescent="0.2">
      <c r="A2" s="21"/>
      <c r="C2" s="71"/>
      <c r="D2" s="1"/>
      <c r="E2" s="1"/>
      <c r="F2" s="7"/>
      <c r="G2" s="7"/>
      <c r="H2" s="5"/>
      <c r="I2" s="5"/>
      <c r="J2" s="5"/>
      <c r="K2" s="20"/>
      <c r="L2" s="20"/>
      <c r="M2" s="16"/>
      <c r="N2" s="16"/>
      <c r="O2" s="16"/>
      <c r="P2" s="16"/>
    </row>
    <row r="3" spans="1:19" s="15" customFormat="1" x14ac:dyDescent="0.2">
      <c r="D3" s="16"/>
      <c r="E3" s="1"/>
      <c r="F3" s="5"/>
      <c r="G3" s="5"/>
      <c r="H3" s="7"/>
      <c r="I3" s="5"/>
      <c r="J3" s="5"/>
      <c r="K3" s="20"/>
      <c r="L3" s="20"/>
      <c r="M3" s="16"/>
      <c r="N3" s="16"/>
      <c r="O3" s="16"/>
      <c r="P3" s="16"/>
    </row>
    <row r="4" spans="1:19" s="15" customFormat="1" x14ac:dyDescent="0.2">
      <c r="A4" s="15" t="s">
        <v>0</v>
      </c>
      <c r="B4" s="15" t="s">
        <v>144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9" s="15" customFormat="1" x14ac:dyDescent="0.2">
      <c r="A5" s="15" t="s">
        <v>1</v>
      </c>
      <c r="B5"/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9" s="15" customFormat="1" x14ac:dyDescent="0.2">
      <c r="A6" s="15" t="s">
        <v>2</v>
      </c>
      <c r="B6" s="28"/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9" s="15" customFormat="1" x14ac:dyDescent="0.2">
      <c r="A7" s="15" t="s">
        <v>3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9" s="39" customFormat="1" ht="18" customHeight="1" x14ac:dyDescent="0.2">
      <c r="A8" s="15" t="s">
        <v>4</v>
      </c>
      <c r="B8" s="15"/>
      <c r="C8" s="15"/>
      <c r="D8" s="36"/>
      <c r="E8" s="37"/>
      <c r="F8" s="34"/>
      <c r="G8" s="34"/>
      <c r="H8" s="34"/>
      <c r="I8" s="34"/>
      <c r="J8" s="34"/>
      <c r="K8" s="22"/>
      <c r="L8" s="22"/>
      <c r="M8" s="38"/>
      <c r="N8" s="32"/>
      <c r="O8" s="33"/>
      <c r="P8" s="33"/>
    </row>
    <row r="9" spans="1:19" s="15" customFormat="1" x14ac:dyDescent="0.2">
      <c r="C9" s="3"/>
      <c r="D9" s="16"/>
      <c r="E9" s="1"/>
      <c r="F9" s="5"/>
      <c r="G9" s="5"/>
      <c r="H9" s="7"/>
      <c r="I9" s="5"/>
      <c r="J9" s="5"/>
      <c r="K9" s="20"/>
      <c r="L9" s="20"/>
      <c r="M9" s="16"/>
      <c r="N9" s="16"/>
      <c r="O9" s="16"/>
      <c r="P9" s="16"/>
    </row>
    <row r="10" spans="1:19" s="38" customFormat="1" ht="26.25" customHeight="1" x14ac:dyDescent="0.2">
      <c r="A10" s="40" t="s">
        <v>5</v>
      </c>
      <c r="B10" s="40" t="s">
        <v>6</v>
      </c>
      <c r="C10" s="41" t="s">
        <v>7</v>
      </c>
      <c r="D10" s="42" t="s">
        <v>8</v>
      </c>
      <c r="E10" s="43" t="s">
        <v>9</v>
      </c>
      <c r="F10" s="44"/>
      <c r="G10" s="44" t="s">
        <v>10</v>
      </c>
      <c r="H10" s="44" t="s">
        <v>11</v>
      </c>
      <c r="I10" s="44" t="s">
        <v>12</v>
      </c>
      <c r="J10" s="44"/>
      <c r="K10" s="4" t="s">
        <v>13</v>
      </c>
      <c r="L10" s="4" t="s">
        <v>14</v>
      </c>
      <c r="N10" s="45" t="s">
        <v>15</v>
      </c>
      <c r="O10" s="46" t="s">
        <v>16</v>
      </c>
      <c r="P10" s="46" t="s">
        <v>17</v>
      </c>
    </row>
    <row r="11" spans="1:19" s="29" customFormat="1" ht="26.25" customHeight="1" x14ac:dyDescent="0.2">
      <c r="A11" s="47"/>
      <c r="B11" s="48">
        <v>1</v>
      </c>
      <c r="C11" s="49" t="s">
        <v>117</v>
      </c>
      <c r="D11" s="50" t="s">
        <v>18</v>
      </c>
      <c r="E11" s="51">
        <v>170</v>
      </c>
      <c r="F11" s="52"/>
      <c r="G11" s="52">
        <f>SUM(G12:G19)</f>
        <v>43971.83435294118</v>
      </c>
      <c r="H11" s="52">
        <f>+E11*G11</f>
        <v>7475211.8400000008</v>
      </c>
      <c r="I11" s="53"/>
      <c r="J11" s="53"/>
      <c r="K11" s="54"/>
      <c r="L11" s="55"/>
      <c r="M11" s="55"/>
      <c r="N11" s="55"/>
      <c r="O11" s="55"/>
      <c r="P11" s="55"/>
      <c r="Q11" s="76" t="s">
        <v>19</v>
      </c>
      <c r="R11" s="76" t="s">
        <v>20</v>
      </c>
      <c r="S11" s="76" t="s">
        <v>21</v>
      </c>
    </row>
    <row r="12" spans="1:19" s="39" customFormat="1" ht="18" customHeight="1" x14ac:dyDescent="0.2">
      <c r="A12" s="38" t="s">
        <v>22</v>
      </c>
      <c r="B12" s="15"/>
      <c r="C12" s="30" t="s">
        <v>23</v>
      </c>
      <c r="D12" s="16" t="s">
        <v>24</v>
      </c>
      <c r="E12" s="74">
        <f>16/E11</f>
        <v>9.4117647058823528E-2</v>
      </c>
      <c r="F12" s="5">
        <v>8234.07</v>
      </c>
      <c r="G12" s="5">
        <f>+E12*F12</f>
        <v>774.97129411764706</v>
      </c>
      <c r="H12" s="31"/>
      <c r="I12" s="33"/>
      <c r="J12" s="33"/>
      <c r="K12" s="33"/>
      <c r="L12" s="33"/>
      <c r="M12" s="38"/>
      <c r="N12" s="32">
        <f t="shared" ref="N12" si="0">E12*$E$11</f>
        <v>16</v>
      </c>
      <c r="O12" s="33">
        <f>+F12</f>
        <v>8234.07</v>
      </c>
      <c r="P12" s="33">
        <f>N12*O12</f>
        <v>131745.12</v>
      </c>
      <c r="Q12" s="66">
        <v>2</v>
      </c>
      <c r="R12" s="75">
        <f>+N12/8</f>
        <v>2</v>
      </c>
      <c r="S12" s="75">
        <f>+R12/Q12</f>
        <v>1</v>
      </c>
    </row>
    <row r="13" spans="1:19" s="39" customFormat="1" ht="18" customHeight="1" x14ac:dyDescent="0.2">
      <c r="A13" s="38" t="s">
        <v>22</v>
      </c>
      <c r="B13" s="15"/>
      <c r="C13" s="30" t="s">
        <v>25</v>
      </c>
      <c r="D13" s="16" t="s">
        <v>24</v>
      </c>
      <c r="E13" s="74">
        <f>16/E11</f>
        <v>9.4117647058823528E-2</v>
      </c>
      <c r="F13" s="5">
        <v>6358.07</v>
      </c>
      <c r="G13" s="5">
        <f t="shared" ref="G13:G14" si="1">+E13*F13</f>
        <v>598.40658823529407</v>
      </c>
      <c r="H13" s="31"/>
      <c r="I13" s="33"/>
      <c r="J13" s="33"/>
      <c r="K13" s="33"/>
      <c r="L13" s="33"/>
      <c r="M13" s="38"/>
      <c r="N13" s="32">
        <f t="shared" ref="N13:N19" si="2">E13*$E$11</f>
        <v>16</v>
      </c>
      <c r="O13" s="33">
        <f t="shared" ref="O13:O19" si="3">+F13</f>
        <v>6358.07</v>
      </c>
      <c r="P13" s="33">
        <f t="shared" ref="P13:P19" si="4">N13*O13</f>
        <v>101729.12</v>
      </c>
      <c r="Q13" s="66">
        <v>2</v>
      </c>
      <c r="R13" s="75">
        <f>+N13/8</f>
        <v>2</v>
      </c>
      <c r="S13" s="75">
        <f>+R13/Q13</f>
        <v>1</v>
      </c>
    </row>
    <row r="14" spans="1:19" ht="18" customHeight="1" x14ac:dyDescent="0.2">
      <c r="A14" s="23" t="s">
        <v>26</v>
      </c>
      <c r="C14" s="30" t="s">
        <v>115</v>
      </c>
      <c r="D14" s="23" t="s">
        <v>32</v>
      </c>
      <c r="E14" s="24">
        <f>20/E11</f>
        <v>0.11764705882352941</v>
      </c>
      <c r="F14" s="5">
        <v>9500</v>
      </c>
      <c r="G14" s="5">
        <f t="shared" si="1"/>
        <v>1117.6470588235295</v>
      </c>
      <c r="N14" s="32">
        <f t="shared" si="2"/>
        <v>20</v>
      </c>
      <c r="O14" s="33">
        <f t="shared" si="3"/>
        <v>9500</v>
      </c>
      <c r="P14" s="33">
        <f t="shared" si="4"/>
        <v>190000</v>
      </c>
    </row>
    <row r="15" spans="1:19" ht="18" customHeight="1" x14ac:dyDescent="0.2">
      <c r="A15" s="23" t="s">
        <v>26</v>
      </c>
      <c r="C15" s="30" t="s">
        <v>28</v>
      </c>
      <c r="D15" s="23" t="s">
        <v>29</v>
      </c>
      <c r="E15" s="24">
        <f>3/E11</f>
        <v>1.7647058823529412E-2</v>
      </c>
      <c r="F15" s="5">
        <v>2100</v>
      </c>
      <c r="G15" s="5">
        <f t="shared" ref="G15:G19" si="5">+E15*F15</f>
        <v>37.058823529411761</v>
      </c>
      <c r="N15" s="32">
        <f t="shared" si="2"/>
        <v>3</v>
      </c>
      <c r="O15" s="33">
        <f t="shared" si="3"/>
        <v>2100</v>
      </c>
      <c r="P15" s="33">
        <f t="shared" si="4"/>
        <v>6300</v>
      </c>
    </row>
    <row r="16" spans="1:19" ht="18" customHeight="1" x14ac:dyDescent="0.2">
      <c r="A16" s="23" t="s">
        <v>26</v>
      </c>
      <c r="C16" s="30" t="s">
        <v>30</v>
      </c>
      <c r="D16" s="23" t="s">
        <v>29</v>
      </c>
      <c r="E16" s="24">
        <f>3/E11</f>
        <v>1.7647058823529412E-2</v>
      </c>
      <c r="F16" s="5">
        <v>6600</v>
      </c>
      <c r="G16" s="5">
        <f t="shared" si="5"/>
        <v>116.47058823529412</v>
      </c>
      <c r="N16" s="32">
        <f t="shared" si="2"/>
        <v>3</v>
      </c>
      <c r="O16" s="33">
        <f t="shared" si="3"/>
        <v>6600</v>
      </c>
      <c r="P16" s="33">
        <f t="shared" si="4"/>
        <v>19800</v>
      </c>
    </row>
    <row r="17" spans="1:19" ht="18" customHeight="1" x14ac:dyDescent="0.2">
      <c r="A17" s="23" t="s">
        <v>26</v>
      </c>
      <c r="C17" s="30" t="s">
        <v>31</v>
      </c>
      <c r="D17" s="23" t="s">
        <v>27</v>
      </c>
      <c r="E17" s="24">
        <v>0.3</v>
      </c>
      <c r="F17" s="5">
        <f>12.57*1520</f>
        <v>19106.400000000001</v>
      </c>
      <c r="G17" s="5">
        <f t="shared" si="5"/>
        <v>5731.92</v>
      </c>
      <c r="N17" s="32">
        <f t="shared" si="2"/>
        <v>51</v>
      </c>
      <c r="O17" s="33">
        <f t="shared" si="3"/>
        <v>19106.400000000001</v>
      </c>
      <c r="P17" s="33">
        <f t="shared" si="4"/>
        <v>974426.4</v>
      </c>
    </row>
    <row r="18" spans="1:19" ht="18" customHeight="1" x14ac:dyDescent="0.2">
      <c r="A18" s="23" t="s">
        <v>26</v>
      </c>
      <c r="C18" s="30" t="s">
        <v>120</v>
      </c>
      <c r="D18" s="23" t="s">
        <v>32</v>
      </c>
      <c r="E18" s="24">
        <v>1.5</v>
      </c>
      <c r="F18" s="5">
        <f>13*1520</f>
        <v>19760</v>
      </c>
      <c r="G18" s="5">
        <f t="shared" si="5"/>
        <v>29640</v>
      </c>
      <c r="N18" s="32">
        <f t="shared" si="2"/>
        <v>255</v>
      </c>
      <c r="O18" s="33">
        <f t="shared" si="3"/>
        <v>19760</v>
      </c>
      <c r="P18" s="33">
        <f t="shared" si="4"/>
        <v>5038800</v>
      </c>
    </row>
    <row r="19" spans="1:19" ht="18" customHeight="1" x14ac:dyDescent="0.2">
      <c r="A19" s="23" t="s">
        <v>26</v>
      </c>
      <c r="C19" s="30" t="s">
        <v>33</v>
      </c>
      <c r="D19" s="23" t="s">
        <v>27</v>
      </c>
      <c r="E19" s="24">
        <v>0.3</v>
      </c>
      <c r="F19" s="5">
        <f>13.06*1520</f>
        <v>19851.2</v>
      </c>
      <c r="G19" s="5">
        <f t="shared" si="5"/>
        <v>5955.36</v>
      </c>
      <c r="N19" s="32">
        <f t="shared" si="2"/>
        <v>51</v>
      </c>
      <c r="O19" s="33">
        <f t="shared" si="3"/>
        <v>19851.2</v>
      </c>
      <c r="P19" s="33">
        <f t="shared" si="4"/>
        <v>1012411.2000000001</v>
      </c>
    </row>
    <row r="20" spans="1:19" s="29" customFormat="1" ht="26.25" customHeight="1" x14ac:dyDescent="0.2">
      <c r="A20" s="47"/>
      <c r="B20" s="48">
        <v>2</v>
      </c>
      <c r="C20" s="49" t="s">
        <v>116</v>
      </c>
      <c r="D20" s="50" t="s">
        <v>18</v>
      </c>
      <c r="E20" s="51">
        <v>150</v>
      </c>
      <c r="F20" s="52"/>
      <c r="G20" s="52">
        <f>SUM(G21:G28)</f>
        <v>0</v>
      </c>
      <c r="H20" s="52">
        <f>+E20*G20</f>
        <v>0</v>
      </c>
      <c r="I20" s="53"/>
      <c r="J20" s="53"/>
      <c r="K20" s="54"/>
      <c r="L20" s="55"/>
      <c r="M20" s="55"/>
      <c r="N20" s="55"/>
      <c r="O20" s="55"/>
      <c r="P20" s="55"/>
      <c r="Q20" s="76" t="s">
        <v>19</v>
      </c>
      <c r="R20" s="76" t="s">
        <v>20</v>
      </c>
      <c r="S20" s="76" t="s">
        <v>21</v>
      </c>
    </row>
    <row r="21" spans="1:19" s="39" customFormat="1" ht="18" customHeight="1" x14ac:dyDescent="0.2">
      <c r="A21" s="38" t="s">
        <v>22</v>
      </c>
      <c r="B21" s="15"/>
      <c r="C21" s="30" t="s">
        <v>23</v>
      </c>
      <c r="D21" s="16" t="s">
        <v>24</v>
      </c>
      <c r="E21" s="74">
        <f>0/E20</f>
        <v>0</v>
      </c>
      <c r="F21" s="5">
        <v>8160.48</v>
      </c>
      <c r="G21" s="5">
        <f>+E21*F21</f>
        <v>0</v>
      </c>
      <c r="H21" s="31"/>
      <c r="I21" s="33"/>
      <c r="J21" s="33"/>
      <c r="K21" s="33"/>
      <c r="L21" s="33"/>
      <c r="M21" s="38"/>
      <c r="N21" s="32">
        <f>E21*$E$20</f>
        <v>0</v>
      </c>
      <c r="O21" s="33">
        <f>+F21</f>
        <v>8160.48</v>
      </c>
      <c r="P21" s="33">
        <f>N21*O21</f>
        <v>0</v>
      </c>
      <c r="Q21" s="66">
        <v>2</v>
      </c>
      <c r="R21" s="75">
        <f>+N21/8</f>
        <v>0</v>
      </c>
      <c r="S21" s="75">
        <f>+R21/Q21</f>
        <v>0</v>
      </c>
    </row>
    <row r="22" spans="1:19" s="39" customFormat="1" ht="18" customHeight="1" x14ac:dyDescent="0.2">
      <c r="A22" s="38" t="s">
        <v>22</v>
      </c>
      <c r="B22" s="15"/>
      <c r="C22" s="30" t="s">
        <v>25</v>
      </c>
      <c r="D22" s="16" t="s">
        <v>24</v>
      </c>
      <c r="E22" s="74">
        <f>0/E20</f>
        <v>0</v>
      </c>
      <c r="F22" s="5">
        <v>6358.07</v>
      </c>
      <c r="G22" s="5">
        <f t="shared" ref="G22:G28" si="6">+E22*F22</f>
        <v>0</v>
      </c>
      <c r="H22" s="31"/>
      <c r="I22" s="33"/>
      <c r="J22" s="33"/>
      <c r="K22" s="33"/>
      <c r="L22" s="33"/>
      <c r="M22" s="38"/>
      <c r="N22" s="32">
        <f t="shared" ref="N22:N28" si="7">E22*$E$20</f>
        <v>0</v>
      </c>
      <c r="O22" s="33">
        <f t="shared" ref="O22:O28" si="8">+F22</f>
        <v>6358.07</v>
      </c>
      <c r="P22" s="33">
        <f t="shared" ref="P22:P28" si="9">N22*O22</f>
        <v>0</v>
      </c>
      <c r="Q22" s="66">
        <v>2</v>
      </c>
      <c r="R22" s="75">
        <f>+N22/8</f>
        <v>0</v>
      </c>
      <c r="S22" s="75">
        <f>+R22/Q22</f>
        <v>0</v>
      </c>
    </row>
    <row r="23" spans="1:19" ht="18" customHeight="1" x14ac:dyDescent="0.2">
      <c r="A23" s="23" t="s">
        <v>26</v>
      </c>
      <c r="C23" s="30" t="s">
        <v>115</v>
      </c>
      <c r="D23" s="23" t="s">
        <v>32</v>
      </c>
      <c r="E23" s="24">
        <f>0/E20</f>
        <v>0</v>
      </c>
      <c r="F23" s="5">
        <v>9500</v>
      </c>
      <c r="G23" s="5">
        <f t="shared" si="6"/>
        <v>0</v>
      </c>
      <c r="N23" s="32">
        <f t="shared" si="7"/>
        <v>0</v>
      </c>
      <c r="O23" s="33">
        <f t="shared" si="8"/>
        <v>9500</v>
      </c>
      <c r="P23" s="33">
        <f t="shared" si="9"/>
        <v>0</v>
      </c>
    </row>
    <row r="24" spans="1:19" ht="18" customHeight="1" x14ac:dyDescent="0.2">
      <c r="A24" s="23" t="s">
        <v>26</v>
      </c>
      <c r="C24" s="30" t="s">
        <v>28</v>
      </c>
      <c r="D24" s="23" t="s">
        <v>29</v>
      </c>
      <c r="E24" s="24">
        <f>0/E20</f>
        <v>0</v>
      </c>
      <c r="F24" s="5">
        <v>2200</v>
      </c>
      <c r="G24" s="5">
        <f t="shared" si="6"/>
        <v>0</v>
      </c>
      <c r="N24" s="32">
        <f t="shared" si="7"/>
        <v>0</v>
      </c>
      <c r="O24" s="33">
        <f t="shared" si="8"/>
        <v>2200</v>
      </c>
      <c r="P24" s="33">
        <f t="shared" si="9"/>
        <v>0</v>
      </c>
    </row>
    <row r="25" spans="1:19" ht="18" customHeight="1" x14ac:dyDescent="0.2">
      <c r="A25" s="23" t="s">
        <v>26</v>
      </c>
      <c r="C25" s="30" t="s">
        <v>30</v>
      </c>
      <c r="D25" s="23" t="s">
        <v>29</v>
      </c>
      <c r="E25" s="24">
        <f>0/E20</f>
        <v>0</v>
      </c>
      <c r="F25" s="5">
        <v>6600</v>
      </c>
      <c r="G25" s="5">
        <f t="shared" si="6"/>
        <v>0</v>
      </c>
      <c r="N25" s="32">
        <f t="shared" si="7"/>
        <v>0</v>
      </c>
      <c r="O25" s="33">
        <f t="shared" si="8"/>
        <v>6600</v>
      </c>
      <c r="P25" s="33">
        <f t="shared" si="9"/>
        <v>0</v>
      </c>
    </row>
    <row r="26" spans="1:19" ht="18" customHeight="1" x14ac:dyDescent="0.2">
      <c r="A26" s="23" t="s">
        <v>26</v>
      </c>
      <c r="C26" s="30" t="s">
        <v>31</v>
      </c>
      <c r="D26" s="23" t="s">
        <v>27</v>
      </c>
      <c r="E26" s="24">
        <v>0</v>
      </c>
      <c r="F26" s="5">
        <f>12.57*1400</f>
        <v>17598</v>
      </c>
      <c r="G26" s="5">
        <f t="shared" si="6"/>
        <v>0</v>
      </c>
      <c r="N26" s="32">
        <f t="shared" si="7"/>
        <v>0</v>
      </c>
      <c r="O26" s="33">
        <f t="shared" si="8"/>
        <v>17598</v>
      </c>
      <c r="P26" s="33">
        <f t="shared" si="9"/>
        <v>0</v>
      </c>
    </row>
    <row r="27" spans="1:19" ht="18" customHeight="1" x14ac:dyDescent="0.2">
      <c r="A27" s="23" t="s">
        <v>26</v>
      </c>
      <c r="C27" s="30" t="s">
        <v>120</v>
      </c>
      <c r="D27" s="23" t="s">
        <v>32</v>
      </c>
      <c r="E27" s="24">
        <v>0</v>
      </c>
      <c r="F27" s="5">
        <f>13*1400</f>
        <v>18200</v>
      </c>
      <c r="G27" s="5">
        <f t="shared" si="6"/>
        <v>0</v>
      </c>
      <c r="N27" s="32">
        <f t="shared" si="7"/>
        <v>0</v>
      </c>
      <c r="O27" s="33">
        <f t="shared" si="8"/>
        <v>18200</v>
      </c>
      <c r="P27" s="33">
        <f t="shared" si="9"/>
        <v>0</v>
      </c>
    </row>
    <row r="28" spans="1:19" ht="18" customHeight="1" x14ac:dyDescent="0.2">
      <c r="A28" s="23" t="s">
        <v>26</v>
      </c>
      <c r="C28" s="30" t="s">
        <v>118</v>
      </c>
      <c r="D28" s="23" t="s">
        <v>119</v>
      </c>
      <c r="E28" s="24">
        <f>0/E20</f>
        <v>0</v>
      </c>
      <c r="F28" s="5">
        <v>20000</v>
      </c>
      <c r="G28" s="5">
        <f t="shared" si="6"/>
        <v>0</v>
      </c>
      <c r="N28" s="32">
        <f t="shared" si="7"/>
        <v>0</v>
      </c>
      <c r="O28" s="33">
        <f t="shared" si="8"/>
        <v>20000</v>
      </c>
      <c r="P28" s="33">
        <f t="shared" si="9"/>
        <v>0</v>
      </c>
    </row>
    <row r="29" spans="1:19" ht="18" customHeight="1" x14ac:dyDescent="0.2"/>
    <row r="30" spans="1:19" ht="18" customHeight="1" x14ac:dyDescent="0.2">
      <c r="H30" s="17">
        <f>SUM(H11:H29)</f>
        <v>7475211.8400000008</v>
      </c>
      <c r="P30" s="18">
        <f>SUM(P11:P29)</f>
        <v>7475211.8400000008</v>
      </c>
    </row>
    <row r="31" spans="1:19" ht="18" customHeight="1" x14ac:dyDescent="0.2"/>
    <row r="32" spans="1:19" ht="18" customHeight="1" x14ac:dyDescent="0.2"/>
    <row r="33" spans="8:8" ht="18" customHeight="1" x14ac:dyDescent="0.2"/>
    <row r="34" spans="8:8" ht="18" customHeight="1" x14ac:dyDescent="0.2"/>
    <row r="35" spans="8:8" ht="18" customHeight="1" x14ac:dyDescent="0.2"/>
    <row r="36" spans="8:8" ht="18" customHeight="1" x14ac:dyDescent="0.2"/>
    <row r="37" spans="8:8" ht="18" customHeight="1" x14ac:dyDescent="0.2">
      <c r="H37" s="78"/>
    </row>
    <row r="38" spans="8:8" ht="18" customHeight="1" x14ac:dyDescent="0.2"/>
    <row r="39" spans="8:8" ht="18" customHeight="1" x14ac:dyDescent="0.2"/>
    <row r="40" spans="8:8" ht="18" customHeight="1" x14ac:dyDescent="0.2"/>
  </sheetData>
  <autoFilter ref="A10:Q10" xr:uid="{00000000-0009-0000-0000-000000000000}"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95"/>
  <sheetViews>
    <sheetView tabSelected="1" topLeftCell="A68" workbookViewId="0">
      <selection activeCell="L82" sqref="L82"/>
    </sheetView>
  </sheetViews>
  <sheetFormatPr baseColWidth="10" defaultColWidth="12" defaultRowHeight="10.199999999999999" x14ac:dyDescent="0.2"/>
  <cols>
    <col min="1" max="2" width="10.140625" style="15" customWidth="1"/>
    <col min="3" max="3" width="66" style="3" customWidth="1"/>
    <col min="4" max="4" width="12.85546875" style="16" customWidth="1"/>
    <col min="5" max="5" width="12.85546875" style="1" customWidth="1"/>
    <col min="6" max="6" width="14.140625" style="5" bestFit="1" customWidth="1"/>
    <col min="7" max="7" width="16.28515625" style="5" customWidth="1"/>
    <col min="8" max="8" width="11.42578125" style="15" customWidth="1"/>
    <col min="9" max="10" width="12" style="15"/>
    <col min="11" max="11" width="14.7109375" style="15" customWidth="1"/>
    <col min="12" max="16384" width="12" style="15"/>
  </cols>
  <sheetData>
    <row r="1" spans="1:16" ht="47.25" customHeight="1" x14ac:dyDescent="0.2">
      <c r="A1" s="19"/>
      <c r="F1" s="1"/>
      <c r="G1" s="1"/>
    </row>
    <row r="2" spans="1:16" ht="12" x14ac:dyDescent="0.2">
      <c r="A2" s="21"/>
      <c r="F2" s="1"/>
      <c r="G2" s="1"/>
    </row>
    <row r="3" spans="1:16" x14ac:dyDescent="0.2">
      <c r="F3" s="1"/>
      <c r="G3" s="1"/>
    </row>
    <row r="4" spans="1:16" x14ac:dyDescent="0.2">
      <c r="A4" s="15" t="s">
        <v>0</v>
      </c>
      <c r="C4" s="15"/>
      <c r="H4" s="7"/>
      <c r="I4" s="5"/>
      <c r="J4" s="5"/>
      <c r="K4" s="20"/>
      <c r="L4" s="20"/>
      <c r="M4" s="16"/>
      <c r="N4" s="16"/>
      <c r="O4" s="16"/>
      <c r="P4" s="16"/>
    </row>
    <row r="5" spans="1:16" x14ac:dyDescent="0.2">
      <c r="A5" s="15" t="s">
        <v>1</v>
      </c>
      <c r="B5"/>
      <c r="C5" s="15"/>
      <c r="H5" s="7"/>
      <c r="I5" s="5"/>
      <c r="J5" s="5"/>
      <c r="K5" s="20"/>
      <c r="L5" s="20"/>
      <c r="M5" s="16"/>
      <c r="N5" s="16"/>
      <c r="O5" s="16"/>
      <c r="P5" s="16"/>
    </row>
    <row r="6" spans="1:16" x14ac:dyDescent="0.2">
      <c r="A6" s="15" t="s">
        <v>2</v>
      </c>
      <c r="B6" s="28"/>
      <c r="C6" s="15"/>
      <c r="H6" s="7"/>
      <c r="I6" s="5"/>
      <c r="J6" s="5"/>
      <c r="K6" s="20"/>
      <c r="L6" s="20"/>
      <c r="M6" s="16"/>
      <c r="N6" s="16"/>
      <c r="O6" s="16"/>
      <c r="P6" s="16"/>
    </row>
    <row r="7" spans="1:16" x14ac:dyDescent="0.2">
      <c r="A7" s="15" t="s">
        <v>3</v>
      </c>
      <c r="H7" s="7"/>
      <c r="I7" s="5"/>
      <c r="J7" s="5"/>
      <c r="K7" s="20"/>
      <c r="L7" s="20"/>
      <c r="M7" s="16"/>
      <c r="N7" s="16"/>
      <c r="O7" s="16"/>
      <c r="P7" s="16"/>
    </row>
    <row r="8" spans="1:16" s="39" customFormat="1" ht="18" customHeight="1" x14ac:dyDescent="0.2">
      <c r="A8" s="15" t="s">
        <v>4</v>
      </c>
      <c r="B8" s="15"/>
      <c r="C8" s="15"/>
      <c r="D8" s="36"/>
      <c r="E8" s="37"/>
      <c r="F8" s="34"/>
      <c r="G8" s="34"/>
      <c r="H8" s="34"/>
      <c r="I8" s="34"/>
      <c r="J8" s="34"/>
      <c r="K8" s="22"/>
      <c r="L8" s="22"/>
      <c r="M8" s="38"/>
      <c r="N8" s="32"/>
      <c r="O8" s="33"/>
      <c r="P8" s="33"/>
    </row>
    <row r="10" spans="1:16" s="3" customFormat="1" ht="20.399999999999999" x14ac:dyDescent="0.2">
      <c r="A10" s="2" t="s">
        <v>5</v>
      </c>
      <c r="B10" s="2" t="s">
        <v>34</v>
      </c>
      <c r="C10" s="3" t="s">
        <v>35</v>
      </c>
      <c r="D10" s="2" t="s">
        <v>8</v>
      </c>
      <c r="E10" s="6" t="s">
        <v>9</v>
      </c>
      <c r="F10" s="7" t="s">
        <v>36</v>
      </c>
      <c r="G10" s="7" t="s">
        <v>37</v>
      </c>
    </row>
    <row r="11" spans="1:16" ht="18" customHeight="1" x14ac:dyDescent="0.2">
      <c r="A11" s="8" t="s">
        <v>38</v>
      </c>
      <c r="B11" s="8"/>
      <c r="C11" s="9" t="s">
        <v>39</v>
      </c>
      <c r="D11" s="10"/>
      <c r="E11" s="11"/>
      <c r="F11" s="12"/>
      <c r="G11" s="13">
        <f>SUM(G12:G14)</f>
        <v>7475211.8400000008</v>
      </c>
    </row>
    <row r="12" spans="1:16" ht="18" customHeight="1" x14ac:dyDescent="0.2">
      <c r="A12" s="14" t="s">
        <v>38</v>
      </c>
      <c r="B12" s="14" t="s">
        <v>38</v>
      </c>
      <c r="C12" s="3" t="s">
        <v>40</v>
      </c>
      <c r="D12" s="16" t="s">
        <v>41</v>
      </c>
      <c r="E12" s="1">
        <v>1</v>
      </c>
      <c r="F12" s="5">
        <f>SUMIF('Análisis de precios'!$A$9:$A$29,"MAT",'Análisis de precios'!$P$9:$P$29)</f>
        <v>7241737.6000000006</v>
      </c>
      <c r="G12" s="5">
        <f>+E12*F12</f>
        <v>7241737.6000000006</v>
      </c>
    </row>
    <row r="13" spans="1:16" ht="18" customHeight="1" x14ac:dyDescent="0.2">
      <c r="A13" s="14" t="s">
        <v>38</v>
      </c>
      <c r="B13" s="14" t="s">
        <v>42</v>
      </c>
      <c r="C13" s="3" t="s">
        <v>43</v>
      </c>
      <c r="D13" s="16" t="s">
        <v>41</v>
      </c>
      <c r="E13" s="1">
        <v>1</v>
      </c>
      <c r="F13" s="5">
        <f>SUMIF('Análisis de precios'!$A$9:$A$29,"MO",'Análisis de precios'!$P$9:$P$29)</f>
        <v>233474.24</v>
      </c>
      <c r="G13" s="5">
        <f>+E13*F13</f>
        <v>233474.24</v>
      </c>
    </row>
    <row r="14" spans="1:16" ht="18" customHeight="1" x14ac:dyDescent="0.2">
      <c r="A14" s="14" t="s">
        <v>38</v>
      </c>
      <c r="B14" s="14" t="s">
        <v>44</v>
      </c>
      <c r="C14" s="3" t="s">
        <v>45</v>
      </c>
      <c r="D14" s="16" t="s">
        <v>41</v>
      </c>
      <c r="E14" s="1">
        <v>1</v>
      </c>
      <c r="F14" s="5">
        <f>SUMIF('Análisis de precios'!$A$9:$A$10,"EQUIPOS",'Análisis de precios'!$P$9:$P$10)</f>
        <v>0</v>
      </c>
      <c r="G14" s="5">
        <f>+E14*F14</f>
        <v>0</v>
      </c>
    </row>
    <row r="15" spans="1:16" ht="18" customHeight="1" x14ac:dyDescent="0.2">
      <c r="A15" s="14"/>
      <c r="B15" s="14"/>
    </row>
    <row r="16" spans="1:16" ht="18" customHeight="1" x14ac:dyDescent="0.2">
      <c r="A16" s="8" t="s">
        <v>42</v>
      </c>
      <c r="B16" s="8"/>
      <c r="C16" s="9" t="s">
        <v>46</v>
      </c>
      <c r="D16" s="10"/>
      <c r="E16" s="11"/>
      <c r="F16" s="12"/>
      <c r="G16" s="13">
        <f>SUM(G17:G60)</f>
        <v>444417.37599999999</v>
      </c>
      <c r="H16" s="35">
        <f>G16/G11</f>
        <v>5.945214470336669E-2</v>
      </c>
    </row>
    <row r="17" spans="1:7" ht="18" customHeight="1" x14ac:dyDescent="0.2">
      <c r="A17"/>
      <c r="B17" s="14"/>
      <c r="C17" t="s">
        <v>47</v>
      </c>
      <c r="D17" s="16" t="s">
        <v>48</v>
      </c>
      <c r="E17" s="1">
        <f>2/25</f>
        <v>0.08</v>
      </c>
      <c r="F17" s="5">
        <v>1350000</v>
      </c>
      <c r="G17" s="34">
        <f>E17*F17</f>
        <v>108000</v>
      </c>
    </row>
    <row r="18" spans="1:7" ht="18" customHeight="1" x14ac:dyDescent="0.2">
      <c r="A18" s="14"/>
      <c r="B18" s="14"/>
      <c r="C18" s="3" t="s">
        <v>49</v>
      </c>
      <c r="D18" s="16" t="s">
        <v>50</v>
      </c>
      <c r="E18" s="1">
        <v>0</v>
      </c>
      <c r="F18" s="5">
        <v>50000</v>
      </c>
      <c r="G18" s="34">
        <f t="shared" ref="G18:G60" si="0">E18*F18</f>
        <v>0</v>
      </c>
    </row>
    <row r="19" spans="1:7" ht="18" customHeight="1" x14ac:dyDescent="0.2">
      <c r="A19" s="14"/>
      <c r="B19" s="14"/>
      <c r="C19" s="3" t="s">
        <v>51</v>
      </c>
      <c r="D19" s="16" t="s">
        <v>50</v>
      </c>
      <c r="E19" s="1">
        <v>0</v>
      </c>
      <c r="F19" s="5">
        <v>120000</v>
      </c>
      <c r="G19" s="34">
        <f t="shared" si="0"/>
        <v>0</v>
      </c>
    </row>
    <row r="20" spans="1:7" ht="18" customHeight="1" x14ac:dyDescent="0.2">
      <c r="A20" s="14"/>
      <c r="B20" s="14"/>
      <c r="C20" s="3" t="s">
        <v>52</v>
      </c>
      <c r="D20" s="16" t="s">
        <v>53</v>
      </c>
      <c r="E20" s="1">
        <v>0</v>
      </c>
      <c r="F20" s="5">
        <v>38000</v>
      </c>
      <c r="G20" s="34">
        <f t="shared" si="0"/>
        <v>0</v>
      </c>
    </row>
    <row r="21" spans="1:7" ht="18" customHeight="1" x14ac:dyDescent="0.2">
      <c r="A21" s="14"/>
      <c r="B21" s="14"/>
      <c r="C21" s="3" t="s">
        <v>54</v>
      </c>
      <c r="D21" s="16" t="s">
        <v>55</v>
      </c>
      <c r="E21" s="1">
        <v>2</v>
      </c>
      <c r="F21" s="5">
        <v>38000</v>
      </c>
      <c r="G21" s="34">
        <f t="shared" si="0"/>
        <v>76000</v>
      </c>
    </row>
    <row r="22" spans="1:7" ht="18" customHeight="1" x14ac:dyDescent="0.2">
      <c r="A22" s="14"/>
      <c r="B22" s="14"/>
      <c r="C22" s="3" t="s">
        <v>56</v>
      </c>
      <c r="D22" s="16" t="s">
        <v>29</v>
      </c>
      <c r="E22" s="1">
        <v>1</v>
      </c>
      <c r="F22" s="5">
        <v>0</v>
      </c>
      <c r="G22" s="34">
        <f t="shared" si="0"/>
        <v>0</v>
      </c>
    </row>
    <row r="23" spans="1:7" ht="18" customHeight="1" x14ac:dyDescent="0.2">
      <c r="A23" s="14"/>
      <c r="B23" s="14"/>
      <c r="C23" s="3" t="s">
        <v>57</v>
      </c>
      <c r="D23" s="16" t="s">
        <v>41</v>
      </c>
      <c r="E23" s="1">
        <v>0</v>
      </c>
      <c r="F23" s="5">
        <v>3000</v>
      </c>
      <c r="G23" s="34">
        <f t="shared" si="0"/>
        <v>0</v>
      </c>
    </row>
    <row r="24" spans="1:7" ht="18" customHeight="1" x14ac:dyDescent="0.2">
      <c r="A24" s="14"/>
      <c r="B24" s="14"/>
      <c r="C24" s="3" t="s">
        <v>58</v>
      </c>
      <c r="D24" s="16" t="s">
        <v>41</v>
      </c>
      <c r="E24" s="1">
        <v>0</v>
      </c>
      <c r="F24" s="5">
        <v>0</v>
      </c>
      <c r="G24" s="34">
        <f t="shared" si="0"/>
        <v>0</v>
      </c>
    </row>
    <row r="25" spans="1:7" ht="18" customHeight="1" x14ac:dyDescent="0.2">
      <c r="A25" s="14"/>
      <c r="B25" s="14"/>
      <c r="C25" s="3" t="s">
        <v>59</v>
      </c>
      <c r="D25" s="16" t="s">
        <v>48</v>
      </c>
      <c r="E25" s="1">
        <f>5/25</f>
        <v>0.2</v>
      </c>
      <c r="F25" s="5">
        <v>15000</v>
      </c>
      <c r="G25" s="34">
        <f t="shared" si="0"/>
        <v>3000</v>
      </c>
    </row>
    <row r="26" spans="1:7" ht="18" customHeight="1" x14ac:dyDescent="0.2">
      <c r="A26" s="14"/>
      <c r="B26" s="14"/>
      <c r="C26" s="3" t="s">
        <v>60</v>
      </c>
      <c r="D26" s="16" t="s">
        <v>61</v>
      </c>
      <c r="E26" s="1">
        <f>5/25</f>
        <v>0.2</v>
      </c>
      <c r="F26" s="5">
        <v>220000</v>
      </c>
      <c r="G26" s="34">
        <f t="shared" si="0"/>
        <v>44000</v>
      </c>
    </row>
    <row r="27" spans="1:7" ht="18" customHeight="1" x14ac:dyDescent="0.2">
      <c r="A27" s="14"/>
      <c r="B27" s="14"/>
      <c r="G27" s="34">
        <f t="shared" si="0"/>
        <v>0</v>
      </c>
    </row>
    <row r="28" spans="1:7" ht="18" customHeight="1" x14ac:dyDescent="0.2">
      <c r="A28" s="14"/>
      <c r="B28" s="14"/>
      <c r="C28" s="3" t="s">
        <v>62</v>
      </c>
      <c r="D28" s="16" t="s">
        <v>63</v>
      </c>
      <c r="E28" s="1">
        <v>0</v>
      </c>
      <c r="F28" s="5">
        <v>0</v>
      </c>
      <c r="G28" s="34">
        <f t="shared" si="0"/>
        <v>0</v>
      </c>
    </row>
    <row r="29" spans="1:7" ht="18" customHeight="1" x14ac:dyDescent="0.2">
      <c r="A29" s="14"/>
      <c r="B29" s="14"/>
      <c r="C29" s="3" t="s">
        <v>64</v>
      </c>
      <c r="D29" s="16" t="s">
        <v>63</v>
      </c>
      <c r="E29" s="1">
        <v>0</v>
      </c>
      <c r="F29" s="5">
        <v>0</v>
      </c>
      <c r="G29" s="34">
        <f t="shared" si="0"/>
        <v>0</v>
      </c>
    </row>
    <row r="30" spans="1:7" ht="18" customHeight="1" x14ac:dyDescent="0.2">
      <c r="A30" s="14"/>
      <c r="B30" s="14"/>
      <c r="C30" s="3" t="s">
        <v>65</v>
      </c>
      <c r="D30" s="16" t="s">
        <v>66</v>
      </c>
      <c r="E30" s="1">
        <v>0</v>
      </c>
      <c r="F30" s="5">
        <v>0</v>
      </c>
      <c r="G30" s="34">
        <f t="shared" si="0"/>
        <v>0</v>
      </c>
    </row>
    <row r="31" spans="1:7" ht="18" customHeight="1" x14ac:dyDescent="0.2">
      <c r="A31" s="14"/>
      <c r="B31" s="14"/>
      <c r="C31" s="3" t="s">
        <v>67</v>
      </c>
      <c r="D31" s="16" t="s">
        <v>68</v>
      </c>
      <c r="E31" s="1">
        <v>0</v>
      </c>
      <c r="F31" s="5">
        <v>0</v>
      </c>
      <c r="G31" s="34">
        <f t="shared" si="0"/>
        <v>0</v>
      </c>
    </row>
    <row r="32" spans="1:7" ht="18" customHeight="1" x14ac:dyDescent="0.2">
      <c r="A32" s="14"/>
      <c r="B32" s="14"/>
      <c r="C32" s="3" t="s">
        <v>69</v>
      </c>
      <c r="D32" s="16" t="s">
        <v>29</v>
      </c>
      <c r="E32" s="1">
        <v>0</v>
      </c>
      <c r="F32" s="5">
        <v>0</v>
      </c>
      <c r="G32" s="34">
        <f t="shared" si="0"/>
        <v>0</v>
      </c>
    </row>
    <row r="33" spans="1:7" ht="18" customHeight="1" x14ac:dyDescent="0.2">
      <c r="A33" s="14"/>
      <c r="B33" s="14"/>
      <c r="C33" s="3" t="s">
        <v>57</v>
      </c>
      <c r="D33" s="16" t="s">
        <v>41</v>
      </c>
      <c r="E33" s="1">
        <v>0</v>
      </c>
      <c r="F33" s="5">
        <v>0</v>
      </c>
      <c r="G33" s="34">
        <f t="shared" si="0"/>
        <v>0</v>
      </c>
    </row>
    <row r="34" spans="1:7" ht="18" customHeight="1" x14ac:dyDescent="0.2">
      <c r="A34" s="14"/>
      <c r="B34" s="14"/>
      <c r="C34" s="3" t="s">
        <v>70</v>
      </c>
      <c r="D34" s="16" t="s">
        <v>71</v>
      </c>
      <c r="E34" s="1">
        <f>3*5/25</f>
        <v>0.6</v>
      </c>
      <c r="F34" s="5">
        <v>15000</v>
      </c>
      <c r="G34" s="34">
        <f t="shared" si="0"/>
        <v>9000</v>
      </c>
    </row>
    <row r="35" spans="1:7" ht="18" customHeight="1" x14ac:dyDescent="0.2">
      <c r="A35" s="14"/>
      <c r="B35" s="14"/>
      <c r="C35" s="3" t="s">
        <v>72</v>
      </c>
      <c r="D35" s="16" t="s">
        <v>61</v>
      </c>
      <c r="E35" s="1">
        <f>3*5/25</f>
        <v>0.6</v>
      </c>
      <c r="F35" s="5">
        <v>220000</v>
      </c>
      <c r="G35" s="34">
        <f t="shared" si="0"/>
        <v>132000</v>
      </c>
    </row>
    <row r="36" spans="1:7" ht="18" customHeight="1" x14ac:dyDescent="0.2">
      <c r="A36" s="14"/>
      <c r="B36" s="14"/>
      <c r="G36" s="34">
        <f t="shared" si="0"/>
        <v>0</v>
      </c>
    </row>
    <row r="37" spans="1:7" ht="18" customHeight="1" x14ac:dyDescent="0.2">
      <c r="A37" s="14"/>
      <c r="B37" s="14"/>
      <c r="C37" s="3" t="s">
        <v>73</v>
      </c>
      <c r="D37" s="16" t="s">
        <v>41</v>
      </c>
      <c r="E37" s="1">
        <v>0</v>
      </c>
      <c r="F37" s="5">
        <v>0</v>
      </c>
      <c r="G37" s="34">
        <f t="shared" si="0"/>
        <v>0</v>
      </c>
    </row>
    <row r="38" spans="1:7" ht="18" customHeight="1" x14ac:dyDescent="0.2">
      <c r="A38" s="14"/>
      <c r="B38" s="14"/>
      <c r="C38" s="3" t="s">
        <v>74</v>
      </c>
      <c r="D38" s="16" t="s">
        <v>41</v>
      </c>
      <c r="E38" s="1">
        <v>0</v>
      </c>
      <c r="F38" s="5">
        <v>0</v>
      </c>
      <c r="G38" s="34">
        <f t="shared" si="0"/>
        <v>0</v>
      </c>
    </row>
    <row r="39" spans="1:7" ht="18" customHeight="1" x14ac:dyDescent="0.2">
      <c r="A39" s="14"/>
      <c r="B39" s="14"/>
      <c r="C39" s="3" t="s">
        <v>75</v>
      </c>
      <c r="D39" s="16" t="s">
        <v>41</v>
      </c>
      <c r="E39" s="1">
        <v>0</v>
      </c>
      <c r="F39" s="5">
        <v>0</v>
      </c>
      <c r="G39" s="34">
        <f t="shared" si="0"/>
        <v>0</v>
      </c>
    </row>
    <row r="40" spans="1:7" ht="18" customHeight="1" x14ac:dyDescent="0.2">
      <c r="A40" s="14"/>
      <c r="B40" s="14"/>
      <c r="G40" s="34">
        <f t="shared" si="0"/>
        <v>0</v>
      </c>
    </row>
    <row r="41" spans="1:7" ht="18" customHeight="1" x14ac:dyDescent="0.2">
      <c r="A41" s="14"/>
      <c r="B41" s="14"/>
      <c r="C41" s="3" t="s">
        <v>76</v>
      </c>
      <c r="D41" s="16" t="s">
        <v>66</v>
      </c>
      <c r="E41" s="1">
        <v>0</v>
      </c>
      <c r="F41" s="5">
        <v>950</v>
      </c>
      <c r="G41" s="34">
        <f t="shared" si="0"/>
        <v>0</v>
      </c>
    </row>
    <row r="42" spans="1:7" ht="18" customHeight="1" x14ac:dyDescent="0.2">
      <c r="A42" s="14"/>
      <c r="B42" s="14"/>
      <c r="C42" s="3" t="s">
        <v>77</v>
      </c>
      <c r="D42" s="16" t="s">
        <v>78</v>
      </c>
      <c r="E42" s="1">
        <v>0</v>
      </c>
      <c r="F42" s="5">
        <v>15000</v>
      </c>
      <c r="G42" s="34">
        <f t="shared" si="0"/>
        <v>0</v>
      </c>
    </row>
    <row r="43" spans="1:7" ht="18" customHeight="1" x14ac:dyDescent="0.2">
      <c r="A43" s="14"/>
      <c r="B43" s="14"/>
      <c r="C43" s="3" t="s">
        <v>79</v>
      </c>
      <c r="D43" s="16" t="s">
        <v>78</v>
      </c>
      <c r="E43" s="1">
        <v>0</v>
      </c>
      <c r="F43" s="5">
        <v>100000</v>
      </c>
      <c r="G43" s="34">
        <f t="shared" si="0"/>
        <v>0</v>
      </c>
    </row>
    <row r="44" spans="1:7" ht="18" customHeight="1" x14ac:dyDescent="0.2">
      <c r="A44" s="14"/>
      <c r="B44" s="14"/>
      <c r="C44" s="3" t="s">
        <v>65</v>
      </c>
      <c r="D44" s="16" t="s">
        <v>78</v>
      </c>
      <c r="E44" s="1">
        <v>0</v>
      </c>
      <c r="F44" s="5">
        <f>9*1100/100</f>
        <v>99</v>
      </c>
      <c r="G44" s="34">
        <f t="shared" si="0"/>
        <v>0</v>
      </c>
    </row>
    <row r="45" spans="1:7" ht="18" customHeight="1" x14ac:dyDescent="0.2">
      <c r="A45" s="14"/>
      <c r="B45" s="14"/>
      <c r="C45" s="3" t="s">
        <v>80</v>
      </c>
      <c r="D45" s="16" t="s">
        <v>66</v>
      </c>
      <c r="E45" s="1">
        <v>0</v>
      </c>
      <c r="F45" s="5">
        <f>9*1100/100</f>
        <v>99</v>
      </c>
      <c r="G45" s="34">
        <f>E45*F45</f>
        <v>0</v>
      </c>
    </row>
    <row r="46" spans="1:7" ht="18" customHeight="1" x14ac:dyDescent="0.2">
      <c r="A46" s="14"/>
      <c r="B46" s="14"/>
      <c r="C46" s="3" t="s">
        <v>81</v>
      </c>
      <c r="D46" s="16" t="s">
        <v>41</v>
      </c>
      <c r="E46" s="1">
        <v>0</v>
      </c>
      <c r="F46" s="5">
        <v>0</v>
      </c>
      <c r="G46" s="34">
        <f>E46*F46</f>
        <v>0</v>
      </c>
    </row>
    <row r="47" spans="1:7" ht="18" customHeight="1" x14ac:dyDescent="0.2">
      <c r="A47" s="14"/>
      <c r="B47" s="14"/>
      <c r="C47" s="3" t="s">
        <v>57</v>
      </c>
      <c r="D47" s="16" t="s">
        <v>41</v>
      </c>
      <c r="E47" s="1">
        <v>0</v>
      </c>
      <c r="F47" s="5">
        <v>0</v>
      </c>
      <c r="G47" s="34">
        <f t="shared" si="0"/>
        <v>0</v>
      </c>
    </row>
    <row r="48" spans="1:7" ht="18" customHeight="1" x14ac:dyDescent="0.2">
      <c r="A48" s="14"/>
      <c r="B48" s="14"/>
      <c r="C48" s="3" t="s">
        <v>82</v>
      </c>
      <c r="D48" s="16" t="s">
        <v>41</v>
      </c>
      <c r="E48" s="1">
        <v>0.01</v>
      </c>
      <c r="F48" s="5">
        <f>G12</f>
        <v>7241737.6000000006</v>
      </c>
      <c r="G48" s="34">
        <f t="shared" si="0"/>
        <v>72417.376000000004</v>
      </c>
    </row>
    <row r="49" spans="1:7" ht="18" customHeight="1" x14ac:dyDescent="0.2">
      <c r="A49" s="14"/>
      <c r="B49" s="14"/>
      <c r="G49" s="34">
        <f t="shared" si="0"/>
        <v>0</v>
      </c>
    </row>
    <row r="50" spans="1:7" ht="18" customHeight="1" x14ac:dyDescent="0.2">
      <c r="A50" s="14"/>
      <c r="B50" s="14"/>
      <c r="C50" s="3" t="s">
        <v>83</v>
      </c>
      <c r="D50" s="16" t="s">
        <v>71</v>
      </c>
      <c r="E50" s="1">
        <v>0</v>
      </c>
      <c r="F50" s="5">
        <v>0</v>
      </c>
      <c r="G50" s="34">
        <f t="shared" si="0"/>
        <v>0</v>
      </c>
    </row>
    <row r="51" spans="1:7" ht="18" customHeight="1" x14ac:dyDescent="0.2">
      <c r="A51" s="14"/>
      <c r="B51" s="14"/>
      <c r="C51" s="3" t="s">
        <v>84</v>
      </c>
      <c r="D51" s="16" t="s">
        <v>78</v>
      </c>
      <c r="E51" s="1">
        <v>0</v>
      </c>
      <c r="F51" s="5">
        <v>0</v>
      </c>
      <c r="G51" s="34">
        <f t="shared" si="0"/>
        <v>0</v>
      </c>
    </row>
    <row r="52" spans="1:7" ht="18" customHeight="1" x14ac:dyDescent="0.2">
      <c r="A52" s="14"/>
      <c r="B52" s="14"/>
      <c r="C52" s="3" t="s">
        <v>85</v>
      </c>
      <c r="D52" s="16" t="s">
        <v>78</v>
      </c>
      <c r="E52" s="1">
        <v>0</v>
      </c>
      <c r="F52" s="5">
        <v>0</v>
      </c>
      <c r="G52" s="34">
        <f t="shared" si="0"/>
        <v>0</v>
      </c>
    </row>
    <row r="53" spans="1:7" ht="18" customHeight="1" x14ac:dyDescent="0.2">
      <c r="A53" s="14"/>
      <c r="B53" s="14"/>
      <c r="C53" s="3" t="s">
        <v>86</v>
      </c>
      <c r="D53" s="16" t="s">
        <v>78</v>
      </c>
      <c r="E53" s="1">
        <v>0</v>
      </c>
      <c r="F53" s="5">
        <v>0</v>
      </c>
      <c r="G53" s="34">
        <f t="shared" si="0"/>
        <v>0</v>
      </c>
    </row>
    <row r="54" spans="1:7" ht="18" customHeight="1" x14ac:dyDescent="0.2">
      <c r="A54" s="14"/>
      <c r="B54" s="14"/>
      <c r="G54" s="34">
        <f t="shared" si="0"/>
        <v>0</v>
      </c>
    </row>
    <row r="55" spans="1:7" ht="18" customHeight="1" x14ac:dyDescent="0.2">
      <c r="A55" s="14"/>
      <c r="B55" s="14"/>
      <c r="C55" s="3" t="s">
        <v>87</v>
      </c>
      <c r="D55" s="16" t="s">
        <v>41</v>
      </c>
      <c r="E55" s="1">
        <v>0</v>
      </c>
      <c r="F55" s="5">
        <v>0</v>
      </c>
      <c r="G55" s="34">
        <f t="shared" si="0"/>
        <v>0</v>
      </c>
    </row>
    <row r="56" spans="1:7" ht="18" customHeight="1" x14ac:dyDescent="0.2">
      <c r="A56" s="14"/>
      <c r="B56" s="14"/>
      <c r="C56" s="3" t="s">
        <v>88</v>
      </c>
      <c r="D56" s="16" t="s">
        <v>41</v>
      </c>
      <c r="E56" s="1">
        <v>0</v>
      </c>
      <c r="F56" s="5">
        <v>0</v>
      </c>
      <c r="G56" s="34">
        <f t="shared" si="0"/>
        <v>0</v>
      </c>
    </row>
    <row r="57" spans="1:7" ht="18" customHeight="1" x14ac:dyDescent="0.2">
      <c r="A57" s="14"/>
      <c r="B57" s="14"/>
      <c r="C57" s="3" t="s">
        <v>89</v>
      </c>
      <c r="D57" s="16" t="s">
        <v>41</v>
      </c>
      <c r="E57" s="1">
        <v>0</v>
      </c>
      <c r="F57" s="5">
        <v>0</v>
      </c>
      <c r="G57" s="34">
        <f t="shared" si="0"/>
        <v>0</v>
      </c>
    </row>
    <row r="58" spans="1:7" ht="18" customHeight="1" x14ac:dyDescent="0.2">
      <c r="A58" s="14"/>
      <c r="B58" s="14"/>
      <c r="C58" s="3" t="s">
        <v>90</v>
      </c>
      <c r="D58" s="16" t="s">
        <v>41</v>
      </c>
      <c r="E58" s="1">
        <v>0</v>
      </c>
      <c r="F58" s="5">
        <v>0</v>
      </c>
      <c r="G58" s="34">
        <f t="shared" si="0"/>
        <v>0</v>
      </c>
    </row>
    <row r="59" spans="1:7" ht="18" customHeight="1" x14ac:dyDescent="0.2">
      <c r="A59" s="14" t="s">
        <v>42</v>
      </c>
      <c r="B59" s="14" t="s">
        <v>38</v>
      </c>
      <c r="C59" s="3" t="s">
        <v>91</v>
      </c>
      <c r="D59" s="16" t="s">
        <v>41</v>
      </c>
      <c r="E59" s="1">
        <v>0</v>
      </c>
      <c r="F59" s="5">
        <v>0</v>
      </c>
      <c r="G59" s="34">
        <f t="shared" si="0"/>
        <v>0</v>
      </c>
    </row>
    <row r="60" spans="1:7" ht="18" customHeight="1" x14ac:dyDescent="0.2">
      <c r="A60" s="14"/>
      <c r="B60" s="14"/>
      <c r="C60" s="3" t="s">
        <v>92</v>
      </c>
      <c r="D60" s="16" t="s">
        <v>41</v>
      </c>
      <c r="E60" s="1">
        <v>0</v>
      </c>
      <c r="F60" s="5">
        <v>0</v>
      </c>
      <c r="G60" s="34">
        <f t="shared" si="0"/>
        <v>0</v>
      </c>
    </row>
    <row r="61" spans="1:7" ht="18" customHeight="1" x14ac:dyDescent="0.2">
      <c r="A61" s="14"/>
      <c r="B61" s="14"/>
    </row>
    <row r="62" spans="1:7" ht="18" customHeight="1" x14ac:dyDescent="0.2">
      <c r="A62" s="8" t="s">
        <v>44</v>
      </c>
      <c r="B62" s="8"/>
      <c r="C62" s="9" t="s">
        <v>93</v>
      </c>
      <c r="D62" s="10"/>
      <c r="E62" s="11"/>
      <c r="F62" s="12"/>
      <c r="G62" s="13">
        <f>+G11+G16</f>
        <v>7919629.2160000009</v>
      </c>
    </row>
    <row r="63" spans="1:7" ht="18" customHeight="1" x14ac:dyDescent="0.2">
      <c r="A63" s="14"/>
      <c r="B63" s="14"/>
    </row>
    <row r="64" spans="1:7" ht="18" customHeight="1" x14ac:dyDescent="0.2">
      <c r="A64" s="8" t="s">
        <v>94</v>
      </c>
      <c r="B64" s="8"/>
      <c r="C64" s="9" t="s">
        <v>95</v>
      </c>
      <c r="D64" s="10"/>
      <c r="E64" s="11"/>
      <c r="F64" s="12"/>
      <c r="G64" s="13">
        <f>+G65</f>
        <v>1425533.2588800001</v>
      </c>
    </row>
    <row r="65" spans="1:11" ht="18" customHeight="1" x14ac:dyDescent="0.2">
      <c r="A65" s="14" t="s">
        <v>94</v>
      </c>
      <c r="B65" s="14" t="s">
        <v>38</v>
      </c>
      <c r="C65" s="3" t="s">
        <v>95</v>
      </c>
      <c r="D65" s="16" t="s">
        <v>96</v>
      </c>
      <c r="E65" s="1">
        <v>18</v>
      </c>
      <c r="G65" s="5">
        <f>+(G62*E65/100)</f>
        <v>1425533.2588800001</v>
      </c>
    </row>
    <row r="66" spans="1:11" ht="18" customHeight="1" x14ac:dyDescent="0.2">
      <c r="A66" s="14"/>
      <c r="B66" s="14"/>
    </row>
    <row r="67" spans="1:11" ht="18" customHeight="1" x14ac:dyDescent="0.2">
      <c r="A67" s="8" t="s">
        <v>97</v>
      </c>
      <c r="B67" s="8"/>
      <c r="C67" s="9" t="s">
        <v>98</v>
      </c>
      <c r="D67" s="10"/>
      <c r="E67" s="11"/>
      <c r="F67" s="12"/>
      <c r="G67" s="13">
        <f>+G64+G62</f>
        <v>9345162.4748800006</v>
      </c>
    </row>
    <row r="68" spans="1:11" ht="18" customHeight="1" x14ac:dyDescent="0.2">
      <c r="A68" s="14"/>
      <c r="B68" s="14"/>
    </row>
    <row r="69" spans="1:11" ht="18" customHeight="1" x14ac:dyDescent="0.2">
      <c r="A69" s="8" t="s">
        <v>99</v>
      </c>
      <c r="B69" s="8"/>
      <c r="C69" s="9" t="s">
        <v>100</v>
      </c>
      <c r="D69" s="10"/>
      <c r="E69" s="11"/>
      <c r="F69" s="12"/>
      <c r="G69" s="13">
        <f>+G70+G71</f>
        <v>3249979.2174276905</v>
      </c>
    </row>
    <row r="70" spans="1:11" ht="18" customHeight="1" x14ac:dyDescent="0.2">
      <c r="A70" s="14" t="s">
        <v>99</v>
      </c>
      <c r="B70" s="14" t="s">
        <v>38</v>
      </c>
      <c r="C70" s="3" t="s">
        <v>100</v>
      </c>
      <c r="D70" s="16" t="s">
        <v>96</v>
      </c>
      <c r="E70" s="1">
        <v>34.777129088592147</v>
      </c>
      <c r="F70" s="25"/>
      <c r="G70" s="5">
        <f>+G67*E70/100</f>
        <v>3249979.2174276905</v>
      </c>
    </row>
    <row r="71" spans="1:11" ht="18" customHeight="1" x14ac:dyDescent="0.2">
      <c r="A71" s="14" t="s">
        <v>99</v>
      </c>
      <c r="B71" s="14" t="s">
        <v>42</v>
      </c>
      <c r="C71" s="3" t="s">
        <v>101</v>
      </c>
      <c r="D71" s="16" t="s">
        <v>96</v>
      </c>
      <c r="E71" s="1">
        <v>0</v>
      </c>
      <c r="G71" s="5">
        <f>+G67*E71/100</f>
        <v>0</v>
      </c>
    </row>
    <row r="72" spans="1:11" ht="18" customHeight="1" x14ac:dyDescent="0.2">
      <c r="A72" s="14"/>
      <c r="B72" s="14"/>
      <c r="E72" s="1" t="s">
        <v>102</v>
      </c>
    </row>
    <row r="73" spans="1:11" ht="18" customHeight="1" x14ac:dyDescent="0.2">
      <c r="A73" s="8" t="s">
        <v>103</v>
      </c>
      <c r="B73" s="8"/>
      <c r="C73" s="9" t="s">
        <v>104</v>
      </c>
      <c r="D73" s="10"/>
      <c r="E73" s="11"/>
      <c r="F73" s="12"/>
      <c r="G73" s="13">
        <f>+G67+G69</f>
        <v>12595141.692307692</v>
      </c>
    </row>
    <row r="74" spans="1:11" ht="18" customHeight="1" x14ac:dyDescent="0.2">
      <c r="A74" s="14"/>
      <c r="B74" s="14"/>
      <c r="J74" s="59" t="s">
        <v>105</v>
      </c>
      <c r="K74" s="60">
        <f>G73/'Análisis de precios'!E11</f>
        <v>74089.068778280547</v>
      </c>
    </row>
    <row r="75" spans="1:11" ht="18" customHeight="1" x14ac:dyDescent="0.2">
      <c r="A75" s="8" t="s">
        <v>106</v>
      </c>
      <c r="B75" s="8"/>
      <c r="C75" s="9" t="s">
        <v>107</v>
      </c>
      <c r="D75" s="10"/>
      <c r="E75" s="11"/>
      <c r="F75" s="12"/>
      <c r="G75" s="13">
        <f>+G76+G77</f>
        <v>314878.54230769235</v>
      </c>
    </row>
    <row r="76" spans="1:11" ht="18" customHeight="1" x14ac:dyDescent="0.2">
      <c r="A76" s="14"/>
      <c r="B76" s="14"/>
      <c r="C76" s="3" t="s">
        <v>108</v>
      </c>
      <c r="D76" s="16" t="s">
        <v>96</v>
      </c>
      <c r="E76" s="1">
        <v>2.5</v>
      </c>
      <c r="G76" s="5">
        <f>+G73*E76/100</f>
        <v>314878.54230769235</v>
      </c>
    </row>
    <row r="77" spans="1:11" ht="18" customHeight="1" x14ac:dyDescent="0.2">
      <c r="A77" s="14"/>
      <c r="B77" s="14"/>
    </row>
    <row r="78" spans="1:11" ht="18" customHeight="1" x14ac:dyDescent="0.2">
      <c r="A78" s="8" t="s">
        <v>106</v>
      </c>
      <c r="B78" s="8"/>
      <c r="C78" s="9" t="s">
        <v>109</v>
      </c>
      <c r="D78" s="10"/>
      <c r="E78" s="11"/>
      <c r="F78" s="12"/>
      <c r="G78" s="13">
        <f>+G73+G75</f>
        <v>12910020.234615384</v>
      </c>
    </row>
    <row r="79" spans="1:11" ht="18" customHeight="1" x14ac:dyDescent="0.2">
      <c r="A79" s="14"/>
      <c r="B79" s="14"/>
    </row>
    <row r="80" spans="1:11" ht="18" customHeight="1" x14ac:dyDescent="0.2">
      <c r="A80" s="8" t="s">
        <v>106</v>
      </c>
      <c r="B80" s="8"/>
      <c r="C80" s="9" t="s">
        <v>107</v>
      </c>
      <c r="D80" s="10"/>
      <c r="E80" s="11"/>
      <c r="F80" s="12"/>
      <c r="G80" s="13">
        <f>+G81</f>
        <v>2644979.7553846152</v>
      </c>
      <c r="J80" s="62" t="s">
        <v>110</v>
      </c>
      <c r="K80" s="63">
        <f>G83/'Análisis de precios'!E11</f>
        <v>91499.999999999985</v>
      </c>
    </row>
    <row r="81" spans="1:8" ht="18" customHeight="1" x14ac:dyDescent="0.2">
      <c r="A81" s="14"/>
      <c r="B81" s="14"/>
      <c r="C81" s="3" t="s">
        <v>111</v>
      </c>
      <c r="D81" s="16" t="s">
        <v>96</v>
      </c>
      <c r="E81" s="1">
        <v>21</v>
      </c>
      <c r="G81" s="5">
        <f>+G73*E81/100</f>
        <v>2644979.7553846152</v>
      </c>
    </row>
    <row r="82" spans="1:8" ht="18" customHeight="1" x14ac:dyDescent="0.2">
      <c r="A82" s="14"/>
      <c r="B82" s="14"/>
    </row>
    <row r="83" spans="1:8" ht="18" customHeight="1" x14ac:dyDescent="0.2">
      <c r="A83" s="8" t="s">
        <v>112</v>
      </c>
      <c r="B83" s="8"/>
      <c r="C83" s="9" t="s">
        <v>113</v>
      </c>
      <c r="D83" s="10"/>
      <c r="E83" s="11"/>
      <c r="F83" s="12"/>
      <c r="G83" s="13">
        <f>+G78+G80+0.01</f>
        <v>15554999.999999998</v>
      </c>
      <c r="H83" s="35">
        <f>G83/G11</f>
        <v>2.0808774831991914</v>
      </c>
    </row>
    <row r="84" spans="1:8" ht="18" customHeight="1" x14ac:dyDescent="0.2">
      <c r="A84" s="14"/>
      <c r="B84" s="14"/>
    </row>
    <row r="85" spans="1:8" ht="18" customHeight="1" x14ac:dyDescent="0.2">
      <c r="A85" s="14"/>
      <c r="B85" s="14"/>
      <c r="F85" s="26"/>
      <c r="G85" s="79">
        <v>13640520</v>
      </c>
    </row>
    <row r="86" spans="1:8" ht="18" customHeight="1" x14ac:dyDescent="0.2">
      <c r="A86" s="14"/>
      <c r="B86" s="14"/>
      <c r="F86" s="27"/>
      <c r="G86" s="15"/>
    </row>
    <row r="87" spans="1:8" x14ac:dyDescent="0.2">
      <c r="F87" s="26"/>
      <c r="G87" s="15"/>
    </row>
    <row r="88" spans="1:8" x14ac:dyDescent="0.2">
      <c r="F88" s="26"/>
      <c r="G88" s="15"/>
    </row>
    <row r="89" spans="1:8" x14ac:dyDescent="0.2">
      <c r="F89" s="26"/>
      <c r="G89" s="15"/>
    </row>
    <row r="90" spans="1:8" x14ac:dyDescent="0.2">
      <c r="F90" s="26"/>
      <c r="G90" s="15"/>
    </row>
    <row r="91" spans="1:8" x14ac:dyDescent="0.2">
      <c r="F91" s="26"/>
      <c r="G91" s="15"/>
    </row>
    <row r="92" spans="1:8" x14ac:dyDescent="0.2">
      <c r="F92" s="26"/>
      <c r="G92" s="15"/>
    </row>
    <row r="93" spans="1:8" x14ac:dyDescent="0.2">
      <c r="F93" s="26"/>
      <c r="G93" s="15"/>
    </row>
    <row r="94" spans="1:8" x14ac:dyDescent="0.2">
      <c r="F94" s="26"/>
      <c r="G94" s="15"/>
    </row>
    <row r="95" spans="1:8" x14ac:dyDescent="0.2">
      <c r="F95" s="26"/>
      <c r="G95" s="1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B29C-4628-4F61-A530-EB58DC71F5A6}">
  <dimension ref="A1:P42"/>
  <sheetViews>
    <sheetView workbookViewId="0">
      <selection activeCell="B4" sqref="B4:C7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7.42578125" style="23" bestFit="1" customWidth="1"/>
    <col min="5" max="5" width="12.85546875" style="24" customWidth="1"/>
    <col min="6" max="6" width="15.42578125" style="18" bestFit="1" customWidth="1"/>
    <col min="7" max="7" width="15.28515625" style="17" customWidth="1"/>
  </cols>
  <sheetData>
    <row r="1" spans="1:16" s="15" customFormat="1" ht="44.25" customHeight="1" x14ac:dyDescent="0.2">
      <c r="A1" s="19"/>
      <c r="C1" s="16"/>
      <c r="D1" s="1"/>
      <c r="E1" s="1"/>
      <c r="F1" s="7"/>
      <c r="G1" s="5"/>
    </row>
    <row r="2" spans="1:16" s="15" customFormat="1" ht="12" x14ac:dyDescent="0.2">
      <c r="A2" s="21"/>
      <c r="C2" s="16"/>
      <c r="D2" s="1"/>
      <c r="E2" s="1"/>
      <c r="F2" s="7"/>
      <c r="G2" s="5"/>
    </row>
    <row r="3" spans="1:16" s="15" customFormat="1" x14ac:dyDescent="0.2">
      <c r="D3" s="16"/>
      <c r="E3" s="1"/>
      <c r="F3" s="5"/>
      <c r="G3" s="7"/>
    </row>
    <row r="4" spans="1:16" s="15" customFormat="1" x14ac:dyDescent="0.2">
      <c r="A4" s="15" t="s">
        <v>0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6" s="15" customFormat="1" x14ac:dyDescent="0.2">
      <c r="A5" s="15" t="s">
        <v>1</v>
      </c>
      <c r="B5"/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6" s="15" customFormat="1" x14ac:dyDescent="0.2">
      <c r="A6" s="15" t="s">
        <v>2</v>
      </c>
      <c r="B6" s="28"/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6" s="15" customFormat="1" x14ac:dyDescent="0.2">
      <c r="A7" s="15" t="s">
        <v>3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6" s="15" customFormat="1" x14ac:dyDescent="0.2">
      <c r="C8" s="3"/>
      <c r="D8" s="16"/>
      <c r="E8" s="1"/>
      <c r="F8" s="5"/>
      <c r="G8" s="7"/>
    </row>
    <row r="9" spans="1:16" s="38" customFormat="1" ht="26.25" customHeight="1" x14ac:dyDescent="0.2">
      <c r="A9" s="67" t="s">
        <v>5</v>
      </c>
      <c r="B9" s="67" t="s">
        <v>6</v>
      </c>
      <c r="C9" s="68" t="s">
        <v>7</v>
      </c>
      <c r="D9" s="56" t="s">
        <v>8</v>
      </c>
      <c r="E9" s="57" t="s">
        <v>9</v>
      </c>
      <c r="F9" s="69" t="s">
        <v>10</v>
      </c>
      <c r="G9" s="69" t="s">
        <v>11</v>
      </c>
    </row>
    <row r="10" spans="1:16" s="29" customFormat="1" ht="26.25" customHeight="1" x14ac:dyDescent="0.2">
      <c r="A10" s="70"/>
      <c r="B10" s="61">
        <f>+'Análisis de precios'!B11</f>
        <v>1</v>
      </c>
      <c r="C10" s="58" t="str">
        <f>+'Análisis de precios'!C11</f>
        <v xml:space="preserve">APLICACIÓN DE DESMOPOL + SELLADO </v>
      </c>
      <c r="D10" s="77" t="str">
        <f>+'Análisis de precios'!D11</f>
        <v>M2</v>
      </c>
      <c r="E10" s="77">
        <f>+'Análisis de precios'!E11</f>
        <v>170</v>
      </c>
      <c r="F10" s="64">
        <f>+'Análisis de precios'!G11*Cascada!H83</f>
        <v>91499.999999999985</v>
      </c>
      <c r="G10" s="64">
        <f>+E10*F10</f>
        <v>15554999.999999998</v>
      </c>
      <c r="H10" s="80"/>
    </row>
    <row r="11" spans="1:16" s="29" customFormat="1" ht="26.25" customHeight="1" x14ac:dyDescent="0.2">
      <c r="A11" s="70"/>
      <c r="B11" s="61">
        <f>+'Análisis de precios'!B20</f>
        <v>2</v>
      </c>
      <c r="C11" s="58" t="str">
        <f>+'Análisis de precios'!C20</f>
        <v xml:space="preserve">APLICACIÓN DE DESMOPOL + ARENA </v>
      </c>
      <c r="D11" s="77" t="str">
        <f>+'Análisis de precios'!D11</f>
        <v>M2</v>
      </c>
      <c r="E11" s="77">
        <f>+'Análisis de precios'!E20</f>
        <v>150</v>
      </c>
      <c r="F11" s="64">
        <f>+'Análisis de precios'!G20*Cascada!H83</f>
        <v>0</v>
      </c>
      <c r="G11" s="64">
        <f>+E11*F11</f>
        <v>0</v>
      </c>
      <c r="H11" s="80"/>
      <c r="I11" s="92">
        <f>+E10+E11</f>
        <v>320</v>
      </c>
      <c r="J11" s="29">
        <f>+I11*60</f>
        <v>19200</v>
      </c>
    </row>
    <row r="12" spans="1:16" ht="18" customHeight="1" x14ac:dyDescent="0.2">
      <c r="F12" s="73" t="s">
        <v>114</v>
      </c>
      <c r="G12" s="72">
        <f>SUM(G10:G11)</f>
        <v>15554999.999999998</v>
      </c>
      <c r="J12" s="88">
        <f>+J11*1420</f>
        <v>27264000</v>
      </c>
    </row>
    <row r="13" spans="1:16" ht="18" customHeight="1" x14ac:dyDescent="0.2"/>
    <row r="14" spans="1:16" ht="18" customHeight="1" x14ac:dyDescent="0.2">
      <c r="C14" s="93" t="s">
        <v>129</v>
      </c>
    </row>
    <row r="15" spans="1:16" ht="30.6" customHeight="1" x14ac:dyDescent="0.2">
      <c r="C15" s="93" t="s">
        <v>130</v>
      </c>
    </row>
    <row r="16" spans="1:16" ht="18" customHeight="1" x14ac:dyDescent="0.2"/>
    <row r="17" spans="3:3" x14ac:dyDescent="0.2">
      <c r="C17" s="93" t="s">
        <v>121</v>
      </c>
    </row>
    <row r="18" spans="3:3" x14ac:dyDescent="0.2">
      <c r="C18" t="s">
        <v>122</v>
      </c>
    </row>
    <row r="20" spans="3:3" x14ac:dyDescent="0.2">
      <c r="C20" s="93" t="s">
        <v>123</v>
      </c>
    </row>
    <row r="22" spans="3:3" x14ac:dyDescent="0.2">
      <c r="C22" s="93" t="s">
        <v>131</v>
      </c>
    </row>
    <row r="23" spans="3:3" x14ac:dyDescent="0.2">
      <c r="C23" t="s">
        <v>132</v>
      </c>
    </row>
    <row r="24" spans="3:3" x14ac:dyDescent="0.2">
      <c r="C24" t="s">
        <v>133</v>
      </c>
    </row>
    <row r="25" spans="3:3" x14ac:dyDescent="0.2">
      <c r="C25" t="s">
        <v>134</v>
      </c>
    </row>
    <row r="27" spans="3:3" x14ac:dyDescent="0.2">
      <c r="C27" s="93" t="s">
        <v>124</v>
      </c>
    </row>
    <row r="28" spans="3:3" x14ac:dyDescent="0.2">
      <c r="C28" t="s">
        <v>135</v>
      </c>
    </row>
    <row r="30" spans="3:3" x14ac:dyDescent="0.2">
      <c r="C30" s="93" t="s">
        <v>125</v>
      </c>
    </row>
    <row r="31" spans="3:3" x14ac:dyDescent="0.2">
      <c r="C31" t="s">
        <v>136</v>
      </c>
    </row>
    <row r="32" spans="3:3" x14ac:dyDescent="0.2">
      <c r="C32" t="s">
        <v>137</v>
      </c>
    </row>
    <row r="33" spans="3:3" x14ac:dyDescent="0.2">
      <c r="C33" t="s">
        <v>138</v>
      </c>
    </row>
    <row r="35" spans="3:3" x14ac:dyDescent="0.2">
      <c r="C35" t="s">
        <v>143</v>
      </c>
    </row>
    <row r="38" spans="3:3" x14ac:dyDescent="0.2">
      <c r="C38" s="93" t="s">
        <v>142</v>
      </c>
    </row>
    <row r="40" spans="3:3" x14ac:dyDescent="0.2">
      <c r="C40" s="93" t="s">
        <v>139</v>
      </c>
    </row>
    <row r="41" spans="3:3" x14ac:dyDescent="0.2">
      <c r="C41" t="s">
        <v>140</v>
      </c>
    </row>
    <row r="42" spans="3:3" x14ac:dyDescent="0.2">
      <c r="C42" t="s">
        <v>141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0F72-4306-4BA2-8EAD-1D168EBF191C}">
  <dimension ref="A1:P25"/>
  <sheetViews>
    <sheetView workbookViewId="0">
      <selection activeCell="B4" sqref="B4:C8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</cols>
  <sheetData>
    <row r="1" spans="1:16" s="15" customFormat="1" ht="44.25" customHeight="1" x14ac:dyDescent="0.2">
      <c r="A1" s="19"/>
      <c r="C1" s="16"/>
      <c r="D1" s="1"/>
      <c r="E1" s="1"/>
    </row>
    <row r="2" spans="1:16" s="15" customFormat="1" ht="12" x14ac:dyDescent="0.2">
      <c r="A2" s="21"/>
      <c r="C2" s="71"/>
      <c r="D2" s="1"/>
      <c r="E2" s="1"/>
    </row>
    <row r="3" spans="1:16" s="15" customFormat="1" x14ac:dyDescent="0.2">
      <c r="D3" s="16"/>
      <c r="E3" s="1"/>
    </row>
    <row r="4" spans="1:16" s="15" customFormat="1" x14ac:dyDescent="0.2">
      <c r="A4" s="15" t="s">
        <v>0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6" s="15" customFormat="1" x14ac:dyDescent="0.2">
      <c r="A5" s="15" t="s">
        <v>1</v>
      </c>
      <c r="B5"/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6" s="15" customFormat="1" x14ac:dyDescent="0.2">
      <c r="A6" s="15" t="s">
        <v>2</v>
      </c>
      <c r="B6" s="28"/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6" s="15" customFormat="1" x14ac:dyDescent="0.2">
      <c r="A7" s="15" t="s">
        <v>3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6" s="39" customFormat="1" ht="18" customHeight="1" x14ac:dyDescent="0.2">
      <c r="A8" s="15" t="s">
        <v>4</v>
      </c>
      <c r="B8" s="15"/>
      <c r="C8" s="15"/>
      <c r="D8" s="36"/>
      <c r="E8" s="37"/>
    </row>
    <row r="9" spans="1:16" s="15" customFormat="1" x14ac:dyDescent="0.2">
      <c r="C9" s="3"/>
      <c r="D9" s="16"/>
      <c r="E9" s="1"/>
    </row>
    <row r="10" spans="1:16" s="38" customFormat="1" ht="19.95" customHeight="1" x14ac:dyDescent="0.2">
      <c r="A10" s="67" t="s">
        <v>5</v>
      </c>
      <c r="B10" s="67" t="s">
        <v>6</v>
      </c>
      <c r="C10" s="68" t="s">
        <v>7</v>
      </c>
      <c r="D10" s="56" t="s">
        <v>8</v>
      </c>
      <c r="E10" s="57" t="s">
        <v>9</v>
      </c>
      <c r="F10" s="65" t="s">
        <v>126</v>
      </c>
      <c r="G10" s="65" t="s">
        <v>127</v>
      </c>
      <c r="H10" s="65" t="s">
        <v>128</v>
      </c>
    </row>
    <row r="11" spans="1:16" s="29" customFormat="1" ht="19.95" customHeight="1" x14ac:dyDescent="0.2">
      <c r="A11" s="70"/>
      <c r="B11" s="61">
        <v>1</v>
      </c>
      <c r="C11" s="58" t="s">
        <v>117</v>
      </c>
      <c r="D11" s="77" t="s">
        <v>18</v>
      </c>
      <c r="E11" s="77">
        <v>124.5</v>
      </c>
      <c r="F11" s="89"/>
      <c r="G11" s="89"/>
      <c r="H11" s="90"/>
    </row>
    <row r="12" spans="1:16" ht="19.95" customHeight="1" x14ac:dyDescent="0.2">
      <c r="A12" s="87"/>
      <c r="B12" s="61">
        <v>2</v>
      </c>
      <c r="C12" s="58" t="s">
        <v>116</v>
      </c>
      <c r="D12" s="77" t="s">
        <v>18</v>
      </c>
      <c r="E12" s="77">
        <v>62.5</v>
      </c>
      <c r="F12" s="87"/>
      <c r="G12" s="87"/>
      <c r="H12" s="89"/>
    </row>
    <row r="13" spans="1:16" ht="18" customHeight="1" x14ac:dyDescent="0.2"/>
    <row r="14" spans="1:16" ht="18" customHeight="1" x14ac:dyDescent="0.2"/>
    <row r="15" spans="1:16" ht="18" customHeight="1" x14ac:dyDescent="0.2"/>
    <row r="16" spans="1:16" ht="18" customHeight="1" x14ac:dyDescent="0.2"/>
    <row r="17" spans="4:5" ht="18" customHeight="1" x14ac:dyDescent="0.2"/>
    <row r="18" spans="4:5" ht="18" customHeight="1" x14ac:dyDescent="0.2"/>
    <row r="19" spans="4:5" ht="18" customHeight="1" x14ac:dyDescent="0.2"/>
    <row r="20" spans="4:5" ht="18" customHeight="1" x14ac:dyDescent="0.2">
      <c r="D20"/>
      <c r="E20"/>
    </row>
    <row r="21" spans="4:5" ht="18" customHeight="1" x14ac:dyDescent="0.2"/>
    <row r="22" spans="4:5" ht="18" customHeight="1" x14ac:dyDescent="0.2"/>
    <row r="23" spans="4:5" ht="18" customHeight="1" x14ac:dyDescent="0.2"/>
    <row r="24" spans="4:5" ht="18" customHeight="1" x14ac:dyDescent="0.2"/>
    <row r="25" spans="4:5" ht="18" customHeight="1" x14ac:dyDescent="0.2"/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P38"/>
  <sheetViews>
    <sheetView workbookViewId="0">
      <selection activeCell="B4" sqref="B4:C7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21.85546875" style="18" customWidth="1"/>
  </cols>
  <sheetData>
    <row r="1" spans="1:16" s="15" customFormat="1" ht="44.25" customHeight="1" x14ac:dyDescent="0.2">
      <c r="A1" s="19"/>
      <c r="C1" s="16"/>
      <c r="D1" s="1"/>
      <c r="E1" s="1"/>
      <c r="F1" s="7"/>
      <c r="G1" s="7"/>
    </row>
    <row r="2" spans="1:16" s="15" customFormat="1" ht="12" x14ac:dyDescent="0.2">
      <c r="A2" s="21"/>
      <c r="C2" s="71"/>
      <c r="D2" s="1"/>
      <c r="E2" s="1"/>
      <c r="F2" s="7"/>
      <c r="G2" s="7"/>
    </row>
    <row r="3" spans="1:16" s="15" customFormat="1" x14ac:dyDescent="0.2">
      <c r="D3" s="16"/>
      <c r="E3" s="1"/>
      <c r="F3" s="5"/>
      <c r="G3" s="5"/>
    </row>
    <row r="4" spans="1:16" s="15" customFormat="1" x14ac:dyDescent="0.2">
      <c r="A4" s="15" t="s">
        <v>0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6" s="15" customFormat="1" x14ac:dyDescent="0.2">
      <c r="A5" s="15" t="s">
        <v>1</v>
      </c>
      <c r="B5"/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6" s="15" customFormat="1" x14ac:dyDescent="0.2">
      <c r="A6" s="15" t="s">
        <v>2</v>
      </c>
      <c r="B6" s="28"/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6" s="15" customFormat="1" x14ac:dyDescent="0.2">
      <c r="A7" s="15" t="s">
        <v>3</v>
      </c>
      <c r="C7" s="3"/>
      <c r="D7" s="16"/>
      <c r="E7" s="1"/>
      <c r="F7" s="5"/>
      <c r="G7" s="5"/>
      <c r="H7" s="7"/>
      <c r="I7" s="5"/>
      <c r="J7" s="5"/>
      <c r="K7" s="20"/>
      <c r="L7" s="20"/>
      <c r="M7" s="16"/>
      <c r="N7" s="16"/>
      <c r="O7" s="16"/>
      <c r="P7" s="16"/>
    </row>
    <row r="8" spans="1:16" s="39" customFormat="1" ht="18" customHeight="1" x14ac:dyDescent="0.2">
      <c r="A8" s="15" t="s">
        <v>4</v>
      </c>
      <c r="B8" s="15"/>
      <c r="C8" s="15"/>
      <c r="D8" s="36"/>
      <c r="E8" s="37"/>
      <c r="F8" s="34"/>
      <c r="G8" s="34"/>
    </row>
    <row r="9" spans="1:16" s="15" customFormat="1" x14ac:dyDescent="0.2">
      <c r="C9" s="3"/>
      <c r="D9" s="16"/>
      <c r="E9" s="1"/>
      <c r="F9" s="5"/>
      <c r="G9" s="5"/>
    </row>
    <row r="10" spans="1:16" s="38" customFormat="1" ht="26.25" customHeight="1" x14ac:dyDescent="0.2">
      <c r="A10" s="67" t="s">
        <v>5</v>
      </c>
      <c r="B10" s="67" t="s">
        <v>6</v>
      </c>
      <c r="C10" s="68" t="s">
        <v>7</v>
      </c>
      <c r="D10" s="56" t="s">
        <v>8</v>
      </c>
      <c r="E10" s="57" t="s">
        <v>9</v>
      </c>
      <c r="F10" s="69"/>
      <c r="G10" s="69" t="s">
        <v>10</v>
      </c>
    </row>
    <row r="11" spans="1:16" s="39" customFormat="1" ht="18" customHeight="1" x14ac:dyDescent="0.2">
      <c r="A11" s="65" t="s">
        <v>22</v>
      </c>
      <c r="B11" s="81"/>
      <c r="C11" s="82" t="s">
        <v>23</v>
      </c>
      <c r="D11" s="83" t="s">
        <v>24</v>
      </c>
      <c r="E11" s="84">
        <f ca="1">SUMIF('Análisis de precios'!C10:P29,C11,'Análisis de precios'!N10:$N$29)</f>
        <v>16</v>
      </c>
      <c r="F11" s="85">
        <v>8036.37</v>
      </c>
      <c r="G11" s="85">
        <f t="shared" ref="G11:G19" ca="1" si="0">+E11*F11</f>
        <v>128581.92</v>
      </c>
    </row>
    <row r="12" spans="1:16" s="39" customFormat="1" ht="18" customHeight="1" x14ac:dyDescent="0.2">
      <c r="A12" s="65" t="s">
        <v>22</v>
      </c>
      <c r="B12" s="81"/>
      <c r="C12" s="82" t="s">
        <v>25</v>
      </c>
      <c r="D12" s="83" t="s">
        <v>24</v>
      </c>
      <c r="E12" s="84">
        <f ca="1">SUMIF('Análisis de precios'!C11:P30,C12,'Análisis de precios'!N11:$N$29)</f>
        <v>16</v>
      </c>
      <c r="F12" s="85">
        <f>+(5619.37+4134.07)/2</f>
        <v>4876.7199999999993</v>
      </c>
      <c r="G12" s="85">
        <f t="shared" ca="1" si="0"/>
        <v>78027.51999999999</v>
      </c>
    </row>
    <row r="13" spans="1:16" ht="18" customHeight="1" x14ac:dyDescent="0.2">
      <c r="A13" s="86" t="s">
        <v>26</v>
      </c>
      <c r="B13" s="87"/>
      <c r="C13" s="82" t="s">
        <v>115</v>
      </c>
      <c r="D13" s="86" t="s">
        <v>32</v>
      </c>
      <c r="E13" s="84">
        <f ca="1">SUMIF('Análisis de precios'!C12:P31,C13,'Análisis de precios'!N12:$N$29)</f>
        <v>20</v>
      </c>
      <c r="F13" s="85">
        <v>9500</v>
      </c>
      <c r="G13" s="85">
        <f t="shared" ca="1" si="0"/>
        <v>190000</v>
      </c>
    </row>
    <row r="14" spans="1:16" ht="18" customHeight="1" x14ac:dyDescent="0.2">
      <c r="A14" s="86" t="s">
        <v>26</v>
      </c>
      <c r="B14" s="87"/>
      <c r="C14" s="82" t="s">
        <v>28</v>
      </c>
      <c r="D14" s="86" t="s">
        <v>29</v>
      </c>
      <c r="E14" s="84">
        <f ca="1">SUMIF('Análisis de precios'!C13:P32,C14,'Análisis de precios'!N13:$N$29)</f>
        <v>3</v>
      </c>
      <c r="F14" s="85">
        <v>2100</v>
      </c>
      <c r="G14" s="85">
        <f t="shared" ca="1" si="0"/>
        <v>6300</v>
      </c>
    </row>
    <row r="15" spans="1:16" ht="18" customHeight="1" x14ac:dyDescent="0.2">
      <c r="A15" s="86" t="s">
        <v>26</v>
      </c>
      <c r="B15" s="87"/>
      <c r="C15" s="82" t="s">
        <v>30</v>
      </c>
      <c r="D15" s="86" t="s">
        <v>29</v>
      </c>
      <c r="E15" s="84">
        <f ca="1">SUMIF('Análisis de precios'!C14:P33,C15,'Análisis de precios'!N14:$N$29)</f>
        <v>3</v>
      </c>
      <c r="F15" s="85">
        <v>6600</v>
      </c>
      <c r="G15" s="85">
        <f t="shared" ca="1" si="0"/>
        <v>19800</v>
      </c>
    </row>
    <row r="16" spans="1:16" ht="18" customHeight="1" x14ac:dyDescent="0.2">
      <c r="A16" s="86" t="s">
        <v>26</v>
      </c>
      <c r="B16" s="87"/>
      <c r="C16" s="82" t="s">
        <v>31</v>
      </c>
      <c r="D16" s="86" t="s">
        <v>27</v>
      </c>
      <c r="E16" s="84">
        <f ca="1">SUMIF('Análisis de precios'!C15:P34,C16,'Análisis de precios'!N15:$N$29)</f>
        <v>51</v>
      </c>
      <c r="F16" s="85">
        <f>12.57*1400</f>
        <v>17598</v>
      </c>
      <c r="G16" s="85">
        <f t="shared" ca="1" si="0"/>
        <v>897498</v>
      </c>
    </row>
    <row r="17" spans="1:7" ht="18" customHeight="1" x14ac:dyDescent="0.2">
      <c r="A17" s="86" t="s">
        <v>26</v>
      </c>
      <c r="B17" s="87"/>
      <c r="C17" s="82" t="s">
        <v>120</v>
      </c>
      <c r="D17" s="86" t="s">
        <v>32</v>
      </c>
      <c r="E17" s="84">
        <f ca="1">SUMIF('Análisis de precios'!C16:P35,C17,'Análisis de precios'!N16:$N$29)</f>
        <v>255</v>
      </c>
      <c r="F17" s="85">
        <f>13*1400</f>
        <v>18200</v>
      </c>
      <c r="G17" s="85">
        <f t="shared" ca="1" si="0"/>
        <v>4641000</v>
      </c>
    </row>
    <row r="18" spans="1:7" ht="18" customHeight="1" x14ac:dyDescent="0.2">
      <c r="A18" s="86" t="s">
        <v>26</v>
      </c>
      <c r="B18" s="87"/>
      <c r="C18" s="82" t="s">
        <v>33</v>
      </c>
      <c r="D18" s="86" t="s">
        <v>27</v>
      </c>
      <c r="E18" s="84">
        <f ca="1">SUMIF('Análisis de precios'!C17:P36,C18,'Análisis de precios'!N17:$N$29)</f>
        <v>51</v>
      </c>
      <c r="F18" s="85">
        <f>13.06*1400</f>
        <v>18284</v>
      </c>
      <c r="G18" s="85">
        <f t="shared" ca="1" si="0"/>
        <v>932484</v>
      </c>
    </row>
    <row r="19" spans="1:7" s="39" customFormat="1" ht="18" customHeight="1" x14ac:dyDescent="0.2">
      <c r="A19" s="86" t="s">
        <v>26</v>
      </c>
      <c r="B19" s="87"/>
      <c r="C19" s="82" t="s">
        <v>118</v>
      </c>
      <c r="D19" s="86" t="s">
        <v>119</v>
      </c>
      <c r="E19" s="84">
        <f ca="1">SUMIF('Análisis de precios'!C18:P37,C19,'Análisis de precios'!N18:$N$29)</f>
        <v>0</v>
      </c>
      <c r="F19" s="85">
        <v>20000</v>
      </c>
      <c r="G19" s="85">
        <f t="shared" ca="1" si="0"/>
        <v>0</v>
      </c>
    </row>
    <row r="20" spans="1:7" s="39" customFormat="1" ht="18" customHeight="1" thickBot="1" x14ac:dyDescent="0.25">
      <c r="A20"/>
      <c r="B20"/>
      <c r="C20"/>
      <c r="D20"/>
      <c r="E20" s="94" t="s">
        <v>114</v>
      </c>
      <c r="F20" s="95"/>
      <c r="G20" s="91">
        <f ca="1">SUM(G11:G19)</f>
        <v>6893691.4399999995</v>
      </c>
    </row>
    <row r="21" spans="1:7" ht="18" customHeight="1" x14ac:dyDescent="0.2">
      <c r="D21"/>
      <c r="E21"/>
      <c r="F21"/>
      <c r="G21"/>
    </row>
    <row r="22" spans="1:7" ht="18" customHeight="1" x14ac:dyDescent="0.2">
      <c r="D22"/>
      <c r="E22"/>
      <c r="F22"/>
      <c r="G22"/>
    </row>
    <row r="23" spans="1:7" ht="18" customHeight="1" x14ac:dyDescent="0.2">
      <c r="D23"/>
      <c r="E23"/>
      <c r="F23"/>
      <c r="G23"/>
    </row>
    <row r="24" spans="1:7" ht="18" customHeight="1" x14ac:dyDescent="0.2">
      <c r="D24"/>
      <c r="E24"/>
      <c r="F24"/>
      <c r="G24"/>
    </row>
    <row r="25" spans="1:7" ht="18" customHeight="1" x14ac:dyDescent="0.2">
      <c r="D25"/>
      <c r="E25"/>
      <c r="F25"/>
      <c r="G25"/>
    </row>
    <row r="26" spans="1:7" ht="18" customHeight="1" x14ac:dyDescent="0.2">
      <c r="D26"/>
      <c r="E26"/>
      <c r="F26"/>
      <c r="G26"/>
    </row>
    <row r="27" spans="1:7" ht="18" customHeight="1" x14ac:dyDescent="0.2"/>
    <row r="28" spans="1:7" ht="18" customHeight="1" x14ac:dyDescent="0.2"/>
    <row r="29" spans="1:7" ht="18" customHeight="1" x14ac:dyDescent="0.2"/>
    <row r="30" spans="1:7" ht="18" customHeight="1" x14ac:dyDescent="0.2"/>
    <row r="31" spans="1:7" ht="18" customHeight="1" x14ac:dyDescent="0.2"/>
    <row r="32" spans="1:7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">
    <mergeCell ref="E20:F20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d9627-c9d7-46e7-8017-e32baaff6d78">
      <Terms xmlns="http://schemas.microsoft.com/office/infopath/2007/PartnerControls"/>
    </lcf76f155ced4ddcb4097134ff3c332f>
    <TaxCatchAll xmlns="a5716b0a-2c4e-4acc-bcd6-6466f35c18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992123F3ED4458D211F3215D79855" ma:contentTypeVersion="12" ma:contentTypeDescription="Crear nuevo documento." ma:contentTypeScope="" ma:versionID="3ec78013fdfe534af527891298d4da4a">
  <xsd:schema xmlns:xsd="http://www.w3.org/2001/XMLSchema" xmlns:xs="http://www.w3.org/2001/XMLSchema" xmlns:p="http://schemas.microsoft.com/office/2006/metadata/properties" xmlns:ns2="403d9627-c9d7-46e7-8017-e32baaff6d78" xmlns:ns3="a5716b0a-2c4e-4acc-bcd6-6466f35c189e" targetNamespace="http://schemas.microsoft.com/office/2006/metadata/properties" ma:root="true" ma:fieldsID="26c75f4f0edf87eb780dae8e1f7fd93c" ns2:_="" ns3:_="">
    <xsd:import namespace="403d9627-c9d7-46e7-8017-e32baaff6d78"/>
    <xsd:import namespace="a5716b0a-2c4e-4acc-bcd6-6466f35c18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9627-c9d7-46e7-8017-e32baaff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02c90-e0a5-4dd3-83f4-bedda3fd8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6b0a-2c4e-4acc-bcd6-6466f35c18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82eac-4892-4499-97e5-748f0a1032b7}" ma:internalName="TaxCatchAll" ma:showField="CatchAllData" ma:web="a5716b0a-2c4e-4acc-bcd6-6466f35c18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03359-0361-47E8-92DE-7EE45A84A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F2C6A5-1613-44F5-81E3-BC140B5654E4}">
  <ds:schemaRefs>
    <ds:schemaRef ds:uri="http://schemas.microsoft.com/office/2006/metadata/properties"/>
    <ds:schemaRef ds:uri="http://schemas.microsoft.com/office/infopath/2007/PartnerControls"/>
    <ds:schemaRef ds:uri="05c4b2f2-e7fe-472d-91b0-057ba03b10e8"/>
    <ds:schemaRef ds:uri="9a596f3c-466b-4833-ade8-25dba75eaf48"/>
    <ds:schemaRef ds:uri="403d9627-c9d7-46e7-8017-e32baaff6d78"/>
    <ds:schemaRef ds:uri="a5716b0a-2c4e-4acc-bcd6-6466f35c189e"/>
  </ds:schemaRefs>
</ds:datastoreItem>
</file>

<file path=customXml/itemProps3.xml><?xml version="1.0" encoding="utf-8"?>
<ds:datastoreItem xmlns:ds="http://schemas.openxmlformats.org/officeDocument/2006/customXml" ds:itemID="{CF59BEEA-C235-4A6A-B08C-44B98BA3E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d9627-c9d7-46e7-8017-e32baaff6d78"/>
    <ds:schemaRef ds:uri="a5716b0a-2c4e-4acc-bcd6-6466f35c1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Análisis de precios</vt:lpstr>
      <vt:lpstr>Cascada</vt:lpstr>
      <vt:lpstr>Precio</vt:lpstr>
      <vt:lpstr>Programa de trabajo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Cristian Acosta</cp:lastModifiedBy>
  <cp:revision/>
  <dcterms:created xsi:type="dcterms:W3CDTF">2016-05-19T21:58:14Z</dcterms:created>
  <dcterms:modified xsi:type="dcterms:W3CDTF">2026-08-05T19:18:04Z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0x0101008B1992123F3ED4458D211F3215D79855</vt:lpwstr>
  </property>
  <property fmtid="{D5CDD505-2E9C-101B-9397-08002B2CF9AE}" pid="3" name="MediaServiceImageTags">
    <vt:lpwstr/>
  </property>
</Properties>
</file>