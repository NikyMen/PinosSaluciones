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Cristian\"/>
    </mc:Choice>
  </mc:AlternateContent>
  <xr:revisionPtr revIDLastSave="0" documentId="8_{263F62B1-7B14-4AB0-A3C8-CAA39B408A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álisis de precios" sheetId="8" r:id="rId1"/>
    <sheet name="Cascada" sheetId="2" r:id="rId2"/>
    <sheet name="Precio" sheetId="14" r:id="rId3"/>
    <sheet name="Programa de trabajo" sheetId="15" r:id="rId4"/>
    <sheet name="Insumos" sheetId="7" r:id="rId5"/>
  </sheets>
  <definedNames>
    <definedName name="_xlnm._FilterDatabase" localSheetId="0" hidden="1">'Análisis de precios'!$A$10:$Q$19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" i="2" l="1"/>
  <c r="H79" i="2"/>
  <c r="H76" i="2"/>
  <c r="H70" i="2"/>
  <c r="H68" i="2"/>
  <c r="H65" i="2"/>
  <c r="H16" i="2"/>
  <c r="P22" i="8"/>
  <c r="N22" i="8"/>
  <c r="G22" i="8"/>
  <c r="O22" i="8"/>
  <c r="E22" i="8"/>
  <c r="E19" i="8"/>
  <c r="E20" i="8"/>
  <c r="E15" i="8"/>
  <c r="E21" i="8"/>
  <c r="E14" i="8" l="1"/>
  <c r="E17" i="8"/>
  <c r="G35" i="2" l="1"/>
  <c r="G17" i="2"/>
  <c r="G15" i="8"/>
  <c r="N17" i="8"/>
  <c r="N13" i="8"/>
  <c r="N16" i="8"/>
  <c r="N18" i="8"/>
  <c r="N12" i="8"/>
  <c r="G12" i="8"/>
  <c r="G16" i="8"/>
  <c r="G18" i="8"/>
  <c r="G13" i="8"/>
  <c r="O13" i="8"/>
  <c r="G17" i="8"/>
  <c r="O21" i="8"/>
  <c r="O14" i="8"/>
  <c r="O15" i="8"/>
  <c r="O16" i="8"/>
  <c r="O17" i="8"/>
  <c r="O18" i="8"/>
  <c r="O19" i="8"/>
  <c r="O20" i="8"/>
  <c r="G38" i="2"/>
  <c r="O12" i="8"/>
  <c r="G34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7" i="2"/>
  <c r="G39" i="2"/>
  <c r="G40" i="2"/>
  <c r="G42" i="2"/>
  <c r="G43" i="2"/>
  <c r="G44" i="2"/>
  <c r="G45" i="2"/>
  <c r="G46" i="2"/>
  <c r="G47" i="2"/>
  <c r="G48" i="2"/>
  <c r="G50" i="2"/>
  <c r="G51" i="2"/>
  <c r="G52" i="2"/>
  <c r="G53" i="2"/>
  <c r="G54" i="2"/>
  <c r="G55" i="2"/>
  <c r="G56" i="2"/>
  <c r="G57" i="2"/>
  <c r="G58" i="2"/>
  <c r="G59" i="2"/>
  <c r="G60" i="2"/>
  <c r="G61" i="2"/>
  <c r="F14" i="2"/>
  <c r="G14" i="2" s="1"/>
  <c r="G11" i="8" l="1"/>
  <c r="R13" i="8"/>
  <c r="S13" i="8" s="1"/>
  <c r="R12" i="8"/>
  <c r="S12" i="8" s="1"/>
  <c r="G19" i="8"/>
  <c r="G20" i="8"/>
  <c r="N14" i="8"/>
  <c r="N21" i="8"/>
  <c r="P21" i="8" s="1"/>
  <c r="G21" i="8"/>
  <c r="N15" i="8"/>
  <c r="P15" i="8" s="1"/>
  <c r="P13" i="8"/>
  <c r="P17" i="8"/>
  <c r="P16" i="8"/>
  <c r="G14" i="8"/>
  <c r="N20" i="8"/>
  <c r="P20" i="8" s="1"/>
  <c r="P12" i="8"/>
  <c r="N19" i="8"/>
  <c r="P19" i="8" s="1"/>
  <c r="P18" i="8"/>
  <c r="P23" i="8" l="1"/>
  <c r="P14" i="8"/>
  <c r="F13" i="2"/>
  <c r="G13" i="2" s="1"/>
  <c r="F12" i="2" l="1"/>
  <c r="F49" i="2" s="1"/>
  <c r="G49" i="2" s="1"/>
  <c r="G16" i="2" s="1"/>
  <c r="H11" i="8"/>
  <c r="I11" i="8" s="1"/>
  <c r="E11" i="7" l="1"/>
  <c r="G11" i="7" s="1"/>
  <c r="H23" i="8"/>
  <c r="E21" i="7" s="1"/>
  <c r="G21" i="7" s="1"/>
  <c r="G12" i="2"/>
  <c r="G11" i="2" l="1"/>
  <c r="G63" i="2" s="1"/>
  <c r="G66" i="2" s="1"/>
  <c r="G65" i="2" s="1"/>
  <c r="G68" i="2" s="1"/>
  <c r="G71" i="2" s="1"/>
  <c r="E14" i="7"/>
  <c r="G14" i="7" s="1"/>
  <c r="E15" i="7"/>
  <c r="G15" i="7" s="1"/>
  <c r="E16" i="7"/>
  <c r="G16" i="7" s="1"/>
  <c r="E17" i="7"/>
  <c r="G17" i="7" s="1"/>
  <c r="E18" i="7"/>
  <c r="G18" i="7" s="1"/>
  <c r="E19" i="7"/>
  <c r="G19" i="7" s="1"/>
  <c r="E20" i="7"/>
  <c r="G20" i="7" s="1"/>
  <c r="E13" i="7"/>
  <c r="G13" i="7" s="1"/>
  <c r="E12" i="7"/>
  <c r="G12" i="7" s="1"/>
  <c r="G22" i="7" l="1"/>
  <c r="G72" i="2"/>
  <c r="G70" i="2" s="1"/>
  <c r="G74" i="2" s="1"/>
  <c r="K75" i="2" s="1"/>
  <c r="G82" i="2" l="1"/>
  <c r="G81" i="2" s="1"/>
  <c r="G77" i="2"/>
  <c r="G76" i="2" s="1"/>
  <c r="G79" i="2" s="1"/>
  <c r="G84" i="2" l="1"/>
  <c r="L83" i="2" s="1"/>
  <c r="I84" i="2"/>
  <c r="H13" i="2"/>
  <c r="H12" i="2"/>
  <c r="K79" i="2"/>
  <c r="H84" i="2" l="1"/>
  <c r="F11" i="14" s="1"/>
  <c r="G11" i="14" s="1"/>
  <c r="G12" i="14" s="1"/>
  <c r="I13" i="2"/>
  <c r="I12" i="2"/>
</calcChain>
</file>

<file path=xl/sharedStrings.xml><?xml version="1.0" encoding="utf-8"?>
<sst xmlns="http://schemas.openxmlformats.org/spreadsheetml/2006/main" count="346" uniqueCount="160">
  <si>
    <t>CLIENTE:</t>
  </si>
  <si>
    <t xml:space="preserve">ANALISIS DE PRECIO GENERAL TRABAJO EN ALTURA </t>
  </si>
  <si>
    <t>OBRA:</t>
  </si>
  <si>
    <t xml:space="preserve">TRABAJOS EN ALTURA-MO Y MAT - PINO SOLUCIONES TECNICAS </t>
  </si>
  <si>
    <t>FECHA:</t>
  </si>
  <si>
    <t>CONTACTO:</t>
  </si>
  <si>
    <t xml:space="preserve">PINO SOLUCIONES TECNICAS </t>
  </si>
  <si>
    <t>ANÁLISIS DE PRECIOS</t>
  </si>
  <si>
    <t>RUBRO</t>
  </si>
  <si>
    <t>ÍTEM</t>
  </si>
  <si>
    <t>DENOMINACIÓN</t>
  </si>
  <si>
    <t>UNIDAD</t>
  </si>
  <si>
    <t>CANTIDAD</t>
  </si>
  <si>
    <t>PRECIO UNITARIO</t>
  </si>
  <si>
    <t>PRECIO PARCIAL</t>
  </si>
  <si>
    <t>PRECIO RUBRO</t>
  </si>
  <si>
    <t>% ITEM</t>
  </si>
  <si>
    <t>% RUBRO</t>
  </si>
  <si>
    <t>Cantidad parcial</t>
  </si>
  <si>
    <t>Precio unitario</t>
  </si>
  <si>
    <t>Precio parcial</t>
  </si>
  <si>
    <t>1.1.</t>
  </si>
  <si>
    <t xml:space="preserve">PINTURA EXTERIOR EN ALTURA </t>
  </si>
  <si>
    <t>M2</t>
  </si>
  <si>
    <t>PERSONAS</t>
  </si>
  <si>
    <t>DIAS TOT</t>
  </si>
  <si>
    <t xml:space="preserve">DIAS DE TRABAJO </t>
  </si>
  <si>
    <t>MO</t>
  </si>
  <si>
    <t xml:space="preserve">Oficial en altura </t>
  </si>
  <si>
    <t>hs</t>
  </si>
  <si>
    <t xml:space="preserve">Ayudante </t>
  </si>
  <si>
    <t>MAT</t>
  </si>
  <si>
    <t>Lija al agua Nro 80</t>
  </si>
  <si>
    <t>U</t>
  </si>
  <si>
    <t>Viruta de acero fina x 300 grs</t>
  </si>
  <si>
    <t>Fijador al agua x 1 lt</t>
  </si>
  <si>
    <t>lts</t>
  </si>
  <si>
    <t>BERSELL BLANCO x 1KG.</t>
  </si>
  <si>
    <t>kg</t>
  </si>
  <si>
    <t>Duralba Impermeab Exterior BLANCO x 1 lt</t>
  </si>
  <si>
    <t>Pinceleta Nro 40</t>
  </si>
  <si>
    <t>Rodillo antigota 20 cm</t>
  </si>
  <si>
    <t>Poximix EXTERIOR x 1,25 kg</t>
  </si>
  <si>
    <t>bolsa</t>
  </si>
  <si>
    <t xml:space="preserve">SACAR PERMISO PARA USO DE VEREDA </t>
  </si>
  <si>
    <t>Karina D' Antiochia Administradora KD</t>
  </si>
  <si>
    <t xml:space="preserve">TRABAJOS EN ALTURA-MO Y MAT - SAN MARTIN 353 - CORRIENTES CAPITAL </t>
  </si>
  <si>
    <t>ADM KARINA  - TEL : 3794 33-1270</t>
  </si>
  <si>
    <t>ITEM</t>
  </si>
  <si>
    <t>DENOMINACION</t>
  </si>
  <si>
    <t>PRECIO UNIT SIN IVA</t>
  </si>
  <si>
    <t>PRECIO PARCIAL SIN IVA</t>
  </si>
  <si>
    <t>1</t>
  </si>
  <si>
    <t>COSTO - COSTO</t>
  </si>
  <si>
    <t>MATERIALES</t>
  </si>
  <si>
    <t>GL</t>
  </si>
  <si>
    <t>2</t>
  </si>
  <si>
    <t>MANO DE OBRA</t>
  </si>
  <si>
    <t>3</t>
  </si>
  <si>
    <t>EQUIPOS</t>
  </si>
  <si>
    <t>GASTOS GENERALES DIRECTOS</t>
  </si>
  <si>
    <t>Sueldos / Honorarios de Dirección de Obra</t>
  </si>
  <si>
    <t xml:space="preserve">Mes </t>
  </si>
  <si>
    <t>Viáticos de Dirección de Obra</t>
  </si>
  <si>
    <t xml:space="preserve">Dia </t>
  </si>
  <si>
    <t>Alojamiento para Dirección de Obra</t>
  </si>
  <si>
    <t>Combustible para movilidad de Dirección de Obra</t>
  </si>
  <si>
    <t>Km</t>
  </si>
  <si>
    <t>Mantenimiento vehicular de Dirección de Obra</t>
  </si>
  <si>
    <t xml:space="preserve">Km </t>
  </si>
  <si>
    <t>Pasajes para Dirección de Obra</t>
  </si>
  <si>
    <t>Gastos varios de movilidad -Estacionamiento, peajes, etc-</t>
  </si>
  <si>
    <t>Librería</t>
  </si>
  <si>
    <t>Seguros para Dirección de Obra</t>
  </si>
  <si>
    <t>Indumentaria y EPP para Dirección de Obra</t>
  </si>
  <si>
    <t>JUEGO</t>
  </si>
  <si>
    <t>Viáticos del personal operativo</t>
  </si>
  <si>
    <t>DIA</t>
  </si>
  <si>
    <t>Alojamiento para personal operativo</t>
  </si>
  <si>
    <t>Combustible para movilidad de personal operativo</t>
  </si>
  <si>
    <t>KM</t>
  </si>
  <si>
    <t>Mantenimiento vehicular para personal operativo</t>
  </si>
  <si>
    <t xml:space="preserve">KM </t>
  </si>
  <si>
    <t>Pasajes para personal operativo</t>
  </si>
  <si>
    <t>Seguros para el personal operativo</t>
  </si>
  <si>
    <t>MES</t>
  </si>
  <si>
    <t>Indumentaria y EPP para el personal operativo</t>
  </si>
  <si>
    <t>Programa de Higiene y Seguridad</t>
  </si>
  <si>
    <t>Permiso de obra</t>
  </si>
  <si>
    <t xml:space="preserve">DIA </t>
  </si>
  <si>
    <t>Sueldos / Honorarios de Resposable de Higiene y Seguridad</t>
  </si>
  <si>
    <t xml:space="preserve">Gastos administrativos </t>
  </si>
  <si>
    <t>Fletes de materiales</t>
  </si>
  <si>
    <t>Viáticos de chóferes</t>
  </si>
  <si>
    <t>Alojamiento de chóferes</t>
  </si>
  <si>
    <t>Mantenimiento vehicular para personal de compras</t>
  </si>
  <si>
    <t>Pasajes para personal de compras</t>
  </si>
  <si>
    <t>Impuesto al cheque</t>
  </si>
  <si>
    <t>Sueldo / Honorarios de Pañolero</t>
  </si>
  <si>
    <t>Viáticos de Pañolero</t>
  </si>
  <si>
    <t>Alojamiento para Pañolero</t>
  </si>
  <si>
    <t>Gastos de movilidad de Pañolero</t>
  </si>
  <si>
    <t>Sellados</t>
  </si>
  <si>
    <t>Garantías para la Oferta</t>
  </si>
  <si>
    <t>Garantías para la Ejecución</t>
  </si>
  <si>
    <t>Fondo de Reparo</t>
  </si>
  <si>
    <t>Impresiones y Librería para presentación de ofertas</t>
  </si>
  <si>
    <t xml:space="preserve">Representacion Tecnica </t>
  </si>
  <si>
    <t>COSTO</t>
  </si>
  <si>
    <t>4</t>
  </si>
  <si>
    <t>GASTOS GENERALES INDIRECTOS</t>
  </si>
  <si>
    <t>%</t>
  </si>
  <si>
    <t>5</t>
  </si>
  <si>
    <t>SUB TOTAL 1</t>
  </si>
  <si>
    <t>6</t>
  </si>
  <si>
    <t>BENEFICIOS</t>
  </si>
  <si>
    <t>COSTO FINANCIERO</t>
  </si>
  <si>
    <t>7</t>
  </si>
  <si>
    <t>SUB TOTAL 2</t>
  </si>
  <si>
    <t>x M2</t>
  </si>
  <si>
    <t>8</t>
  </si>
  <si>
    <t>IMPUESTOS</t>
  </si>
  <si>
    <t xml:space="preserve">INGRESOS BRUTOS </t>
  </si>
  <si>
    <t>SUB TOTAL 3</t>
  </si>
  <si>
    <t>IVA</t>
  </si>
  <si>
    <t xml:space="preserve">X M2 </t>
  </si>
  <si>
    <t>9</t>
  </si>
  <si>
    <t>PRECIO</t>
  </si>
  <si>
    <t>TOTAL</t>
  </si>
  <si>
    <t>DESCRIPCIÓN TÉCNICA DEL SERVICIO – PINTURA EXTERIOR DE EDIFICIO</t>
  </si>
  <si>
    <r>
      <t>Objeto:</t>
    </r>
    <r>
      <rPr>
        <sz val="8"/>
        <color theme="1"/>
        <rFont val="Arial"/>
        <family val="2"/>
      </rPr>
      <t xml:space="preserve"> Provisión de equipamiento, materiales , mano de obra especializada y asesoramiento comercial sin cargo, para la ejecución integral de pintura exterior en altura.</t>
    </r>
  </si>
  <si>
    <t>1. PREPARACIÓN DE SUPERFICIES</t>
  </si>
  <si>
    <t>Limpieza y saneamiento de las fachadas a intervenir, eliminando elementos contaminantes (polvo, polvo orgánico, pintura descascarada u otros residuos), en zonas donde sean necesarias.</t>
  </si>
  <si>
    <t>Inspección detallada de fisuras y grietas visibles que puedan comprometer la integridad superficial.</t>
  </si>
  <si>
    <t xml:space="preserve">2. SELLADO </t>
  </si>
  <si>
    <t>Aplicación de sellador elastomérico de alta flexibilidad sobre fisuras detectadas, asegurando impermeabilidad y adaptación a leves movimientos estructurales.</t>
  </si>
  <si>
    <t xml:space="preserve">3. IMPRIMACIÓN </t>
  </si>
  <si>
    <r>
      <t xml:space="preserve">Aplicación de </t>
    </r>
    <r>
      <rPr>
        <b/>
        <sz val="8"/>
        <color theme="1"/>
        <rFont val="Arial"/>
        <family val="2"/>
      </rPr>
      <t>una mano de fijador acrílico profesional al agua</t>
    </r>
    <r>
      <rPr>
        <sz val="8"/>
        <color theme="1"/>
        <rFont val="Arial"/>
        <family val="2"/>
      </rPr>
      <t>, que homogeneiza la absorción del soporte y mejora la adherencia del acabado final.</t>
    </r>
  </si>
  <si>
    <t>4. PINTURA LATEX EXTERIOR ( DURALBA FRENTE Y MUROS - COLOR A ELECCION DEL CLIENTE)</t>
  </si>
  <si>
    <r>
      <t xml:space="preserve">Aplicación de </t>
    </r>
    <r>
      <rPr>
        <b/>
        <sz val="8"/>
        <color theme="1"/>
        <rFont val="Arial"/>
        <family val="2"/>
      </rPr>
      <t xml:space="preserve">dos manos de pintura látex DURALBA </t>
    </r>
    <r>
      <rPr>
        <sz val="8"/>
        <color theme="1"/>
        <rFont val="Arial"/>
        <family val="2"/>
      </rPr>
      <t>, garantizando superficie uniforme y resistencia frente al desgaste climático.</t>
    </r>
  </si>
  <si>
    <t>5. ÁMBITO DE INTERVENCIÓN</t>
  </si>
  <si>
    <t xml:space="preserve">Comprende todo el perímetro exterior del edificio: fachada principal, medianeras laterales, contrafrente y fachada, tambien pintura exterior en acceso del edificio. ( NO INCLUYE INTERIOR DE LOS BALCONES ) </t>
  </si>
  <si>
    <t>6. PERSONAL, CALIDAD Y SEGURIDAD</t>
  </si>
  <si>
    <t>Equipo conformado por personal profesional con sólida trayectoria (más de 150 edificios ejecutados), respaldado por capacitación continua, avalados por normas.</t>
  </si>
  <si>
    <r>
      <t xml:space="preserve">Compromiso con una </t>
    </r>
    <r>
      <rPr>
        <b/>
        <sz val="8"/>
        <color theme="1"/>
        <rFont val="Arial"/>
        <family val="2"/>
      </rPr>
      <t>seguridad integral</t>
    </r>
    <r>
      <rPr>
        <sz val="8"/>
        <color theme="1"/>
        <rFont val="Arial"/>
        <family val="2"/>
      </rPr>
      <t>:</t>
    </r>
  </si>
  <si>
    <t>Personal seguro y registrado</t>
  </si>
  <si>
    <t>Supervisiones periódicas por profesionales matriculados</t>
  </si>
  <si>
    <t>7. ASESORAMIENTO COMERCIAL SIN COMPROMISO</t>
  </si>
  <si>
    <r>
      <t xml:space="preserve">Nuestro equipo de ventas está </t>
    </r>
    <r>
      <rPr>
        <b/>
        <sz val="8"/>
        <color theme="1"/>
        <rFont val="Arial"/>
        <family val="2"/>
      </rPr>
      <t>a disposición del cliente para coordinar una reunión presencial o virtual</t>
    </r>
    <r>
      <rPr>
        <sz val="8"/>
        <color theme="1"/>
        <rFont val="Arial"/>
        <family val="2"/>
      </rPr>
      <t>, sin costo ni compromiso, para explicar nuestro enfoque de trabajo, metodología, cronograma y responder inquietudes.</t>
    </r>
  </si>
  <si>
    <t>8. PLAZO DE EJECUCIÓN</t>
  </si>
  <si>
    <r>
      <t>27 días corridos</t>
    </r>
    <r>
      <rPr>
        <sz val="8"/>
        <color theme="1"/>
        <rFont val="Arial"/>
        <family val="2"/>
      </rPr>
      <t xml:space="preserve"> habiles desde el inicio de obra, sujeto a condiciones climáticas normales.</t>
    </r>
  </si>
  <si>
    <t>Nota: El presente presupuesto contiene impuestos -</t>
  </si>
  <si>
    <t xml:space="preserve">TRABAJOS EN ALTURA-MO Y MAT - SAN LUIS 699 -  EDIF ANTARES III  - CORRIENTES CAPITAL </t>
  </si>
  <si>
    <t xml:space="preserve">26 DIAS </t>
  </si>
  <si>
    <t>9. CONDICIONES DE PAGO</t>
  </si>
  <si>
    <r>
      <t>40 % del monto total</t>
    </r>
    <r>
      <rPr>
        <sz val="8"/>
        <color theme="1"/>
        <rFont val="Arial"/>
        <family val="2"/>
      </rPr>
      <t xml:space="preserve"> al momento de la aprobación del presupuesto.</t>
    </r>
  </si>
  <si>
    <t xml:space="preserve">Saldo restante  a los 30 , 60, 90 dias una vez completado el 40%. </t>
  </si>
  <si>
    <t>Sin reajustes ni modificaciones al precio acordado.</t>
  </si>
  <si>
    <t>rollo</t>
  </si>
  <si>
    <t>Film polietileno negro 200 micrones (2x50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</si>
</sst>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\ #,##0.00"/>
    <numFmt numFmtId="166" formatCode="dd/mm/yyyy;@"/>
    <numFmt numFmtId="167" formatCode="_-* #,##0.00\ &quot;Pts&quot;_-;\-* #,##0.00\ &quot;Pts&quot;_-;_-* &quot;-&quot;??\ &quot;Pts&quot;_-;_-@_-"/>
    <numFmt numFmtId="168" formatCode="_ [$€-2]\ * #,##0.00_ ;_ [$€-2]\ * \-#,##0.00_ ;_ [$€-2]\ * &quot;-&quot;??_ "/>
    <numFmt numFmtId="169" formatCode="#.00"/>
    <numFmt numFmtId="170" formatCode="&quot;$&quot;#.00"/>
    <numFmt numFmtId="171" formatCode="\$#,##0\ ;\(\$#,##0\)"/>
    <numFmt numFmtId="172" formatCode="0.0"/>
    <numFmt numFmtId="173" formatCode="_ * #,##0.00_ ;_ * \-#,##0.00_ ;_ * &quot;-&quot;??_ ;_ @_ "/>
    <numFmt numFmtId="174" formatCode="0.000"/>
  </numFmts>
  <fonts count="22" x14ac:knownFonts="1">
    <font>
      <sz val="8"/>
      <color theme="1"/>
      <name val="Arial"/>
      <family val="2"/>
    </font>
    <font>
      <sz val="16"/>
      <color indexed="48"/>
      <name val="Times New Roman"/>
      <family val="1"/>
    </font>
    <font>
      <sz val="9"/>
      <color indexed="4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"/>
      <color indexed="8"/>
      <name val="Courier"/>
    </font>
    <font>
      <b/>
      <sz val="1"/>
      <color indexed="8"/>
      <name val="Courier"/>
    </font>
    <font>
      <i/>
      <sz val="1"/>
      <color indexed="8"/>
      <name val="Courie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18"/>
      <color theme="1"/>
      <name val="Arial"/>
      <family val="2"/>
    </font>
    <font>
      <b/>
      <sz val="13.5"/>
      <color theme="1"/>
      <name val="Arial"/>
      <family val="2"/>
    </font>
    <font>
      <b/>
      <sz val="2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>
      <protection locked="0"/>
    </xf>
    <xf numFmtId="0" fontId="11" fillId="0" borderId="0">
      <protection locked="0"/>
    </xf>
    <xf numFmtId="0" fontId="9" fillId="0" borderId="0">
      <protection locked="0"/>
    </xf>
    <xf numFmtId="0" fontId="12" fillId="0" borderId="0">
      <protection locked="0"/>
    </xf>
    <xf numFmtId="0" fontId="9" fillId="0" borderId="0">
      <protection locked="0"/>
    </xf>
    <xf numFmtId="0" fontId="12" fillId="0" borderId="0">
      <protection locked="0"/>
    </xf>
    <xf numFmtId="168" fontId="5" fillId="0" borderId="0" applyFont="0" applyFill="0" applyBorder="0" applyAlignment="0" applyProtection="0"/>
    <xf numFmtId="0" fontId="8" fillId="0" borderId="0">
      <protection locked="0"/>
    </xf>
    <xf numFmtId="0" fontId="11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3" fillId="0" borderId="0">
      <protection locked="0"/>
    </xf>
    <xf numFmtId="0" fontId="5" fillId="0" borderId="0" applyFont="0" applyFill="0" applyBorder="0" applyAlignment="0" applyProtection="0"/>
    <xf numFmtId="169" fontId="8" fillId="0" borderId="0">
      <protection locked="0"/>
    </xf>
    <xf numFmtId="169" fontId="11" fillId="0" borderId="0">
      <protection locked="0"/>
    </xf>
    <xf numFmtId="4" fontId="8" fillId="0" borderId="0">
      <protection locked="0"/>
    </xf>
    <xf numFmtId="4" fontId="11" fillId="0" borderId="0">
      <protection locked="0"/>
    </xf>
    <xf numFmtId="173" fontId="1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70" fontId="8" fillId="0" borderId="0">
      <protection locked="0"/>
    </xf>
    <xf numFmtId="170" fontId="11" fillId="0" borderId="0">
      <protection locked="0"/>
    </xf>
    <xf numFmtId="171" fontId="5" fillId="0" borderId="0" applyFont="0" applyFill="0" applyBorder="0" applyAlignment="0" applyProtection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</cellStyleXfs>
  <cellXfs count="110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0" fontId="4" fillId="0" borderId="0" xfId="43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vertical="center"/>
    </xf>
    <xf numFmtId="10" fontId="14" fillId="0" borderId="0" xfId="43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0" fontId="17" fillId="0" borderId="0" xfId="4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14" fillId="0" borderId="0" xfId="43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66" fontId="0" fillId="0" borderId="0" xfId="0" applyNumberFormat="1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left" vertical="center" indent="2"/>
    </xf>
    <xf numFmtId="165" fontId="3" fillId="4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9" fontId="0" fillId="0" borderId="0" xfId="43" applyFont="1" applyAlignment="1">
      <alignment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72" fontId="3" fillId="3" borderId="0" xfId="0" applyNumberFormat="1" applyFont="1" applyFill="1" applyAlignment="1">
      <alignment horizontal="center" vertical="center" wrapText="1"/>
    </xf>
    <xf numFmtId="2" fontId="3" fillId="3" borderId="0" xfId="0" applyNumberFormat="1" applyFont="1" applyFill="1" applyAlignment="1">
      <alignment horizontal="left" vertical="center" wrapText="1"/>
    </xf>
    <xf numFmtId="2" fontId="3" fillId="3" borderId="0" xfId="0" applyNumberFormat="1" applyFont="1" applyFill="1" applyAlignment="1">
      <alignment horizontal="center" vertical="center" readingOrder="1"/>
    </xf>
    <xf numFmtId="2" fontId="3" fillId="3" borderId="0" xfId="0" applyNumberFormat="1" applyFont="1" applyFill="1" applyAlignment="1" applyProtection="1">
      <alignment horizontal="center" vertical="center" readingOrder="1"/>
      <protection locked="0"/>
    </xf>
    <xf numFmtId="165" fontId="3" fillId="3" borderId="0" xfId="0" applyNumberFormat="1" applyFont="1" applyFill="1" applyAlignment="1" applyProtection="1">
      <alignment horizontal="center" vertical="center"/>
      <protection locked="0"/>
    </xf>
    <xf numFmtId="165" fontId="3" fillId="3" borderId="0" xfId="0" applyNumberFormat="1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0" fontId="3" fillId="3" borderId="0" xfId="0" applyFont="1" applyFill="1"/>
    <xf numFmtId="0" fontId="17" fillId="6" borderId="1" xfId="0" applyFont="1" applyFill="1" applyBorder="1" applyAlignment="1">
      <alignment vertical="center"/>
    </xf>
    <xf numFmtId="165" fontId="17" fillId="6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7" fillId="7" borderId="1" xfId="0" applyFont="1" applyFill="1" applyBorder="1" applyAlignment="1">
      <alignment vertical="center"/>
    </xf>
    <xf numFmtId="165" fontId="0" fillId="0" borderId="0" xfId="52" applyNumberFormat="1" applyFont="1" applyFill="1" applyAlignment="1">
      <alignment vertical="center"/>
    </xf>
    <xf numFmtId="2" fontId="0" fillId="0" borderId="0" xfId="0" applyNumberFormat="1" applyAlignment="1">
      <alignment vertical="center"/>
    </xf>
    <xf numFmtId="0" fontId="0" fillId="7" borderId="0" xfId="0" applyFill="1" applyAlignment="1">
      <alignment horizontal="center" vertical="center"/>
    </xf>
    <xf numFmtId="44" fontId="17" fillId="7" borderId="1" xfId="53" applyFont="1" applyFill="1" applyBorder="1" applyAlignment="1">
      <alignment vertical="center"/>
    </xf>
    <xf numFmtId="2" fontId="3" fillId="0" borderId="0" xfId="0" applyNumberFormat="1" applyFont="1" applyAlignment="1">
      <alignment vertical="center"/>
    </xf>
    <xf numFmtId="44" fontId="0" fillId="0" borderId="0" xfId="53" applyFont="1" applyAlignment="1">
      <alignment vertical="center"/>
    </xf>
    <xf numFmtId="0" fontId="3" fillId="7" borderId="1" xfId="0" applyFont="1" applyFill="1" applyBorder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7" fillId="0" borderId="2" xfId="0" applyNumberFormat="1" applyFont="1" applyBorder="1"/>
    <xf numFmtId="165" fontId="17" fillId="0" borderId="2" xfId="0" applyNumberFormat="1" applyFont="1" applyBorder="1" applyAlignment="1">
      <alignment horizontal="center"/>
    </xf>
    <xf numFmtId="0" fontId="19" fillId="0" borderId="0" xfId="0" applyFont="1" applyAlignment="1">
      <alignment vertical="center"/>
    </xf>
    <xf numFmtId="0" fontId="17" fillId="0" borderId="0" xfId="0" applyFont="1"/>
    <xf numFmtId="0" fontId="2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7" fillId="8" borderId="1" xfId="0" applyFont="1" applyFill="1" applyBorder="1" applyAlignment="1">
      <alignment horizontal="center"/>
    </xf>
    <xf numFmtId="165" fontId="17" fillId="8" borderId="1" xfId="0" applyNumberFormat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7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readingOrder="1"/>
    </xf>
    <xf numFmtId="2" fontId="3" fillId="0" borderId="1" xfId="0" applyNumberFormat="1" applyFont="1" applyBorder="1" applyAlignment="1" applyProtection="1">
      <alignment horizontal="center" vertical="center" readingOrder="1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17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54">
    <cellStyle name="Cabecera 1" xfId="1" xr:uid="{00000000-0005-0000-0000-000000000000}"/>
    <cellStyle name="Cabecera 2" xfId="2" xr:uid="{00000000-0005-0000-0000-000001000000}"/>
    <cellStyle name="Dia" xfId="3" xr:uid="{00000000-0005-0000-0000-000003000000}"/>
    <cellStyle name="Dia 2" xfId="4" xr:uid="{00000000-0005-0000-0000-000004000000}"/>
    <cellStyle name="Encabez1" xfId="5" xr:uid="{00000000-0005-0000-0000-000005000000}"/>
    <cellStyle name="Encabez1 2" xfId="6" xr:uid="{00000000-0005-0000-0000-000006000000}"/>
    <cellStyle name="Encabez2" xfId="7" xr:uid="{00000000-0005-0000-0000-000007000000}"/>
    <cellStyle name="Encabez2 2" xfId="8" xr:uid="{00000000-0005-0000-0000-000008000000}"/>
    <cellStyle name="Euro" xfId="9" xr:uid="{00000000-0005-0000-0000-000009000000}"/>
    <cellStyle name="F2" xfId="10" xr:uid="{00000000-0005-0000-0000-00000A000000}"/>
    <cellStyle name="F2 2" xfId="11" xr:uid="{00000000-0005-0000-0000-00000B000000}"/>
    <cellStyle name="F3" xfId="12" xr:uid="{00000000-0005-0000-0000-00000C000000}"/>
    <cellStyle name="F3 2" xfId="13" xr:uid="{00000000-0005-0000-0000-00000D000000}"/>
    <cellStyle name="F4" xfId="14" xr:uid="{00000000-0005-0000-0000-00000E000000}"/>
    <cellStyle name="F4 2" xfId="15" xr:uid="{00000000-0005-0000-0000-00000F000000}"/>
    <cellStyle name="F5" xfId="16" xr:uid="{00000000-0005-0000-0000-000010000000}"/>
    <cellStyle name="F5 2" xfId="17" xr:uid="{00000000-0005-0000-0000-000011000000}"/>
    <cellStyle name="F6" xfId="18" xr:uid="{00000000-0005-0000-0000-000012000000}"/>
    <cellStyle name="F6 2" xfId="19" xr:uid="{00000000-0005-0000-0000-000013000000}"/>
    <cellStyle name="F7" xfId="20" xr:uid="{00000000-0005-0000-0000-000014000000}"/>
    <cellStyle name="F7 2" xfId="21" xr:uid="{00000000-0005-0000-0000-000015000000}"/>
    <cellStyle name="F8" xfId="22" xr:uid="{00000000-0005-0000-0000-000016000000}"/>
    <cellStyle name="F8 2" xfId="23" xr:uid="{00000000-0005-0000-0000-000017000000}"/>
    <cellStyle name="Fecha" xfId="24" xr:uid="{00000000-0005-0000-0000-000018000000}"/>
    <cellStyle name="Fijo" xfId="25" xr:uid="{00000000-0005-0000-0000-000019000000}"/>
    <cellStyle name="Fijo 2" xfId="26" xr:uid="{00000000-0005-0000-0000-00001A000000}"/>
    <cellStyle name="Financiero" xfId="27" xr:uid="{00000000-0005-0000-0000-00001B000000}"/>
    <cellStyle name="Financiero 2" xfId="28" xr:uid="{00000000-0005-0000-0000-00001C000000}"/>
    <cellStyle name="Millares" xfId="52" builtinId="3"/>
    <cellStyle name="Millares 2" xfId="29" xr:uid="{00000000-0005-0000-0000-00001E000000}"/>
    <cellStyle name="Moneda" xfId="53" builtinId="4"/>
    <cellStyle name="Moneda 2" xfId="30" xr:uid="{00000000-0005-0000-0000-000020000000}"/>
    <cellStyle name="Moneda 3" xfId="31" xr:uid="{00000000-0005-0000-0000-000021000000}"/>
    <cellStyle name="Moneda 3 2" xfId="32" xr:uid="{00000000-0005-0000-0000-000022000000}"/>
    <cellStyle name="Moneda 3 3" xfId="33" xr:uid="{00000000-0005-0000-0000-000023000000}"/>
    <cellStyle name="Monetario" xfId="34" xr:uid="{00000000-0005-0000-0000-000024000000}"/>
    <cellStyle name="Monetario 2" xfId="35" xr:uid="{00000000-0005-0000-0000-000025000000}"/>
    <cellStyle name="Monetario0" xfId="36" xr:uid="{00000000-0005-0000-0000-000026000000}"/>
    <cellStyle name="Normal" xfId="0" builtinId="0"/>
    <cellStyle name="Normal 2" xfId="37" xr:uid="{00000000-0005-0000-0000-000028000000}"/>
    <cellStyle name="Normal 3" xfId="38" xr:uid="{00000000-0005-0000-0000-000029000000}"/>
    <cellStyle name="Normal 4" xfId="39" xr:uid="{00000000-0005-0000-0000-00002A000000}"/>
    <cellStyle name="Normal 4 2" xfId="40" xr:uid="{00000000-0005-0000-0000-00002B000000}"/>
    <cellStyle name="Normal 4 3" xfId="41" xr:uid="{00000000-0005-0000-0000-00002C000000}"/>
    <cellStyle name="Normal 5" xfId="42" xr:uid="{00000000-0005-0000-0000-00002D000000}"/>
    <cellStyle name="Porcentaje" xfId="43" builtinId="5"/>
    <cellStyle name="Porcentaje 2" xfId="44" xr:uid="{00000000-0005-0000-0000-000030000000}"/>
    <cellStyle name="Porcentaje 3" xfId="45" xr:uid="{00000000-0005-0000-0000-000031000000}"/>
    <cellStyle name="Porcentaje 3 2" xfId="46" xr:uid="{00000000-0005-0000-0000-000032000000}"/>
    <cellStyle name="Porcentaje 3 3" xfId="47" xr:uid="{00000000-0005-0000-0000-000033000000}"/>
    <cellStyle name="Porcentual 2" xfId="48" xr:uid="{00000000-0005-0000-0000-000034000000}"/>
    <cellStyle name="Porcentual 3" xfId="49" xr:uid="{00000000-0005-0000-0000-000035000000}"/>
    <cellStyle name="Punto" xfId="50" xr:uid="{00000000-0005-0000-0000-000036000000}"/>
    <cellStyle name="Punto0" xfId="51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3224BC-52A0-49BF-AADE-DB5A6AED6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E4042EAF-CDBD-4488-9335-2841285C0761}"/>
            </a:ext>
          </a:extLst>
        </xdr:cNvPr>
        <xdr:cNvSpPr>
          <a:spLocks noChangeAspect="1" noChangeArrowheads="1"/>
        </xdr:cNvSpPr>
      </xdr:nvSpPr>
      <xdr:spPr bwMode="auto">
        <a:xfrm>
          <a:off x="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76200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5F6E1152-302A-4ED9-A255-22E30F99DF00}"/>
            </a:ext>
          </a:extLst>
        </xdr:cNvPr>
        <xdr:cNvSpPr>
          <a:spLocks noChangeAspect="1" noChangeArrowheads="1"/>
        </xdr:cNvSpPr>
      </xdr:nvSpPr>
      <xdr:spPr bwMode="auto">
        <a:xfrm>
          <a:off x="116205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2</xdr:row>
      <xdr:rowOff>85649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96B320-A5B1-44AC-9E3E-65DFC2B34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E7BA2C5-3B34-41EE-8F7B-F8B61824F966}"/>
            </a:ext>
            <a:ext uri="{147F2762-F138-4A5C-976F-8EAC2B608ADB}">
              <a16:predDERef xmlns:a16="http://schemas.microsoft.com/office/drawing/2014/main" pred="{A9D9C63A-7574-4AC5-A622-C5C3564CC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1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0ECBE3-404B-4DD4-A2BE-B276B5C63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676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6FEA8D-F8A1-4DC0-836B-28D5BC0A8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84E0532-F755-41E8-B555-0FACE6F5F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8257C36-0493-47FB-B42F-1BADDDCC1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1</xdr:row>
      <xdr:rowOff>114300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6B335808-AA77-4D17-AAEF-E4F478147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676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8FFE87-BE4B-4684-A1DE-6423A673A1D8}"/>
            </a:ext>
            <a:ext uri="{147F2762-F138-4A5C-976F-8EAC2B608ADB}">
              <a16:predDERef xmlns:a16="http://schemas.microsoft.com/office/drawing/2014/main" pred="{A9D9C63A-7574-4AC5-A622-C5C3564CC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723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1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C7348F-2241-4611-AA68-E410C40BE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676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6DDDBED-0F37-4DFD-A2CD-65E5DBEFC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A349A87-AB55-4BC9-921A-B0E915947640}"/>
            </a:ext>
            <a:ext uri="{147F2762-F138-4A5C-976F-8EAC2B608ADB}">
              <a16:predDERef xmlns:a16="http://schemas.microsoft.com/office/drawing/2014/main" pred="{A9D9C63A-7574-4AC5-A622-C5C3564CC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723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1</xdr:row>
      <xdr:rowOff>114300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25DEA0D-4F26-4B26-9164-0C711ECE1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676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2B7859A-E2CE-41F8-AE05-8F4E42D7E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818C4BC-014C-4D58-94F3-728A5EB9C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1F6A07B-F128-408A-B82C-965AD9FBF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zoomScaleNormal="100" workbookViewId="0">
      <selection activeCell="F6" sqref="F6"/>
    </sheetView>
  </sheetViews>
  <sheetFormatPr baseColWidth="10" defaultColWidth="12" defaultRowHeight="10.199999999999999" x14ac:dyDescent="0.2"/>
  <cols>
    <col min="1" max="2" width="12.85546875" customWidth="1"/>
    <col min="3" max="3" width="66.7109375" customWidth="1"/>
    <col min="4" max="4" width="12.85546875" style="23" customWidth="1"/>
    <col min="5" max="5" width="12.85546875" style="24" customWidth="1"/>
    <col min="6" max="6" width="12.85546875" style="18" customWidth="1"/>
    <col min="7" max="7" width="15.85546875" style="18" customWidth="1"/>
    <col min="8" max="8" width="18.85546875" style="17" customWidth="1"/>
    <col min="9" max="10" width="14.140625" style="17" customWidth="1"/>
    <col min="11" max="12" width="12.85546875" customWidth="1"/>
    <col min="13" max="13" width="5.140625" customWidth="1"/>
    <col min="14" max="15" width="12.85546875" customWidth="1"/>
    <col min="16" max="16" width="19.42578125" customWidth="1"/>
    <col min="18" max="18" width="9" bestFit="1" customWidth="1"/>
    <col min="19" max="19" width="15.42578125" customWidth="1"/>
  </cols>
  <sheetData>
    <row r="1" spans="1:19" s="15" customFormat="1" ht="44.25" customHeight="1" x14ac:dyDescent="0.2">
      <c r="A1" s="19"/>
      <c r="C1" s="62"/>
      <c r="D1" s="1"/>
      <c r="E1" s="1"/>
      <c r="F1" s="7"/>
      <c r="G1" s="7"/>
      <c r="H1" s="5"/>
      <c r="I1" s="5"/>
      <c r="J1" s="5"/>
      <c r="K1" s="20"/>
      <c r="L1" s="20"/>
      <c r="M1" s="16"/>
      <c r="N1" s="16"/>
      <c r="O1" s="16"/>
      <c r="P1" s="16"/>
    </row>
    <row r="2" spans="1:19" s="15" customFormat="1" ht="12" x14ac:dyDescent="0.2">
      <c r="A2" s="21"/>
      <c r="C2" s="36"/>
      <c r="D2" s="1"/>
      <c r="E2" s="1"/>
      <c r="F2" s="7"/>
      <c r="G2" s="7"/>
      <c r="H2" s="5"/>
      <c r="I2" s="5"/>
      <c r="J2" s="5"/>
      <c r="K2" s="20"/>
      <c r="L2" s="20"/>
      <c r="M2" s="16"/>
      <c r="N2" s="16"/>
      <c r="O2" s="16"/>
      <c r="P2" s="16"/>
    </row>
    <row r="3" spans="1:19" s="15" customFormat="1" x14ac:dyDescent="0.2">
      <c r="D3" s="16"/>
      <c r="E3" s="1"/>
      <c r="F3" s="5"/>
      <c r="G3" s="5"/>
      <c r="H3" s="7"/>
      <c r="I3" s="5"/>
      <c r="J3" s="5"/>
      <c r="K3" s="20"/>
      <c r="L3" s="20"/>
      <c r="M3" s="16"/>
      <c r="N3" s="16"/>
      <c r="O3" s="16"/>
      <c r="P3" s="16"/>
    </row>
    <row r="4" spans="1:19" s="15" customFormat="1" x14ac:dyDescent="0.2">
      <c r="A4" s="15" t="s">
        <v>0</v>
      </c>
      <c r="B4" s="15" t="s">
        <v>1</v>
      </c>
      <c r="D4" s="16"/>
      <c r="E4" s="1"/>
      <c r="F4" s="5"/>
      <c r="G4" s="5"/>
      <c r="H4" s="7"/>
      <c r="I4" s="5"/>
      <c r="J4" s="5"/>
      <c r="K4" s="20"/>
      <c r="L4" s="20"/>
      <c r="M4" s="16"/>
      <c r="N4" s="16"/>
      <c r="O4" s="16"/>
      <c r="P4" s="16"/>
    </row>
    <row r="5" spans="1:19" s="15" customFormat="1" x14ac:dyDescent="0.2">
      <c r="A5" s="15" t="s">
        <v>2</v>
      </c>
      <c r="B5" t="s">
        <v>3</v>
      </c>
      <c r="D5" s="16"/>
      <c r="E5" s="1"/>
      <c r="F5" s="5"/>
      <c r="G5" s="5"/>
      <c r="H5" s="7"/>
      <c r="I5" s="5"/>
      <c r="J5" s="5"/>
      <c r="K5" s="20"/>
      <c r="L5" s="20"/>
      <c r="M5" s="16"/>
      <c r="N5" s="16"/>
      <c r="O5" s="16"/>
      <c r="P5" s="16"/>
    </row>
    <row r="6" spans="1:19" s="15" customFormat="1" x14ac:dyDescent="0.2">
      <c r="A6" s="15" t="s">
        <v>4</v>
      </c>
      <c r="B6" s="28">
        <v>45910</v>
      </c>
      <c r="D6" s="16"/>
      <c r="E6" s="1"/>
      <c r="F6" s="5"/>
      <c r="G6" s="5"/>
      <c r="H6" s="7"/>
      <c r="I6" s="5"/>
      <c r="J6" s="5"/>
      <c r="K6" s="20"/>
      <c r="L6" s="20"/>
      <c r="M6" s="16"/>
      <c r="N6" s="16"/>
      <c r="O6" s="16"/>
      <c r="P6" s="16"/>
    </row>
    <row r="7" spans="1:19" s="15" customFormat="1" x14ac:dyDescent="0.2">
      <c r="A7" s="15" t="s">
        <v>5</v>
      </c>
      <c r="B7" s="15" t="s">
        <v>6</v>
      </c>
      <c r="C7" s="3"/>
      <c r="D7" s="16"/>
      <c r="E7" s="1"/>
      <c r="F7" s="5"/>
      <c r="G7" s="5"/>
      <c r="H7" s="7"/>
      <c r="I7" s="5"/>
      <c r="J7" s="5"/>
      <c r="K7" s="20"/>
      <c r="L7" s="20"/>
      <c r="M7" s="16"/>
      <c r="N7" s="16"/>
      <c r="O7" s="16"/>
      <c r="P7" s="16"/>
    </row>
    <row r="8" spans="1:19" s="39" customFormat="1" ht="18" customHeight="1" x14ac:dyDescent="0.2">
      <c r="A8" s="15" t="s">
        <v>7</v>
      </c>
      <c r="B8" s="15"/>
      <c r="C8" s="15"/>
      <c r="D8" s="36"/>
      <c r="E8" s="37"/>
      <c r="F8" s="34"/>
      <c r="G8" s="34"/>
      <c r="H8" s="34"/>
      <c r="I8" s="34"/>
      <c r="J8" s="34"/>
      <c r="K8" s="22"/>
      <c r="L8" s="22"/>
      <c r="M8" s="38"/>
      <c r="N8" s="32"/>
      <c r="O8" s="33"/>
      <c r="P8" s="33"/>
    </row>
    <row r="9" spans="1:19" s="15" customFormat="1" x14ac:dyDescent="0.2">
      <c r="C9" s="3"/>
      <c r="D9" s="16"/>
      <c r="E9" s="1"/>
      <c r="F9" s="5"/>
      <c r="G9" s="5"/>
      <c r="H9" s="7"/>
      <c r="I9" s="5"/>
      <c r="J9" s="5"/>
      <c r="K9" s="20"/>
      <c r="L9" s="20"/>
      <c r="M9" s="16"/>
      <c r="N9" s="16"/>
      <c r="O9" s="16"/>
      <c r="P9" s="16"/>
    </row>
    <row r="10" spans="1:19" s="38" customFormat="1" ht="26.25" customHeight="1" x14ac:dyDescent="0.2">
      <c r="A10" s="40" t="s">
        <v>8</v>
      </c>
      <c r="B10" s="40" t="s">
        <v>9</v>
      </c>
      <c r="C10" s="41" t="s">
        <v>10</v>
      </c>
      <c r="D10" s="42" t="s">
        <v>11</v>
      </c>
      <c r="E10" s="43" t="s">
        <v>12</v>
      </c>
      <c r="F10" s="44"/>
      <c r="G10" s="44" t="s">
        <v>13</v>
      </c>
      <c r="H10" s="44" t="s">
        <v>14</v>
      </c>
      <c r="I10" s="44" t="s">
        <v>15</v>
      </c>
      <c r="J10" s="44"/>
      <c r="K10" s="4" t="s">
        <v>16</v>
      </c>
      <c r="L10" s="4" t="s">
        <v>17</v>
      </c>
      <c r="N10" s="45" t="s">
        <v>18</v>
      </c>
      <c r="O10" s="46" t="s">
        <v>19</v>
      </c>
      <c r="P10" s="46" t="s">
        <v>20</v>
      </c>
    </row>
    <row r="11" spans="1:19" s="29" customFormat="1" ht="50.25" customHeight="1" x14ac:dyDescent="0.2">
      <c r="A11" s="47"/>
      <c r="B11" s="48" t="s">
        <v>21</v>
      </c>
      <c r="C11" s="49" t="s">
        <v>22</v>
      </c>
      <c r="D11" s="50" t="s">
        <v>23</v>
      </c>
      <c r="E11" s="51">
        <v>5250</v>
      </c>
      <c r="F11" s="52"/>
      <c r="G11" s="52">
        <f>SUM(G12:G22)</f>
        <v>7003.3928571428569</v>
      </c>
      <c r="H11" s="52">
        <f>G11*E11</f>
        <v>36767812.5</v>
      </c>
      <c r="I11" s="53">
        <f>+H11/E11</f>
        <v>7003.3928571428569</v>
      </c>
      <c r="J11" s="53"/>
      <c r="K11" s="54"/>
      <c r="L11" s="55"/>
      <c r="M11" s="55"/>
      <c r="N11" s="55"/>
      <c r="O11" s="55"/>
      <c r="P11" s="55"/>
      <c r="Q11" s="66" t="s">
        <v>24</v>
      </c>
      <c r="R11" s="66" t="s">
        <v>25</v>
      </c>
      <c r="S11" s="66" t="s">
        <v>26</v>
      </c>
    </row>
    <row r="12" spans="1:19" s="39" customFormat="1" ht="18" customHeight="1" x14ac:dyDescent="0.2">
      <c r="A12" s="38" t="s">
        <v>27</v>
      </c>
      <c r="B12" s="15"/>
      <c r="C12" s="30" t="s">
        <v>28</v>
      </c>
      <c r="D12" s="16" t="s">
        <v>29</v>
      </c>
      <c r="E12" s="1">
        <v>0.33</v>
      </c>
      <c r="F12" s="5">
        <v>8780</v>
      </c>
      <c r="G12" s="5">
        <f>+E12*F12</f>
        <v>2897.4</v>
      </c>
      <c r="H12" s="31"/>
      <c r="I12" s="33"/>
      <c r="J12" s="33"/>
      <c r="K12" s="33"/>
      <c r="L12" s="33"/>
      <c r="M12" s="38"/>
      <c r="N12" s="32">
        <f>E12*$E$11</f>
        <v>1732.5</v>
      </c>
      <c r="O12" s="33">
        <f>+F12</f>
        <v>8780</v>
      </c>
      <c r="P12" s="33">
        <f>N12*O12</f>
        <v>15211350</v>
      </c>
      <c r="Q12" s="69">
        <v>6</v>
      </c>
      <c r="R12" s="70">
        <f>+N12/8</f>
        <v>216.5625</v>
      </c>
      <c r="S12" s="70">
        <f>+R12/Q12</f>
        <v>36.09375</v>
      </c>
    </row>
    <row r="13" spans="1:19" s="39" customFormat="1" ht="18" customHeight="1" x14ac:dyDescent="0.2">
      <c r="A13" s="38" t="s">
        <v>27</v>
      </c>
      <c r="B13" s="15"/>
      <c r="C13" s="30" t="s">
        <v>30</v>
      </c>
      <c r="D13" s="16" t="s">
        <v>29</v>
      </c>
      <c r="E13" s="1">
        <v>0.15</v>
      </c>
      <c r="F13" s="5">
        <v>5619</v>
      </c>
      <c r="G13" s="5">
        <f>+E13*F13</f>
        <v>842.85</v>
      </c>
      <c r="H13" s="31"/>
      <c r="I13" s="33"/>
      <c r="J13" s="33"/>
      <c r="K13" s="33"/>
      <c r="L13" s="33"/>
      <c r="M13" s="38"/>
      <c r="N13" s="32">
        <f t="shared" ref="N13:N22" si="0">E13*$E$11</f>
        <v>787.5</v>
      </c>
      <c r="O13" s="33">
        <f>+F13</f>
        <v>5619</v>
      </c>
      <c r="P13" s="33">
        <f t="shared" ref="P13:P22" si="1">N13*O13</f>
        <v>4424962.5</v>
      </c>
      <c r="Q13" s="69">
        <v>3</v>
      </c>
      <c r="R13" s="70">
        <f>+N13/8</f>
        <v>98.4375</v>
      </c>
      <c r="S13" s="70">
        <f>+R13/Q13</f>
        <v>32.8125</v>
      </c>
    </row>
    <row r="14" spans="1:19" s="39" customFormat="1" ht="18" customHeight="1" x14ac:dyDescent="0.2">
      <c r="A14" s="38" t="s">
        <v>31</v>
      </c>
      <c r="B14" s="30">
        <v>110041</v>
      </c>
      <c r="C14" s="30" t="s">
        <v>32</v>
      </c>
      <c r="D14" s="16" t="s">
        <v>33</v>
      </c>
      <c r="E14" s="1">
        <f>80/E11</f>
        <v>1.5238095238095238E-2</v>
      </c>
      <c r="F14" s="5">
        <v>900</v>
      </c>
      <c r="G14" s="5">
        <f t="shared" ref="G14:G22" si="2">+E14*F14</f>
        <v>13.714285714285714</v>
      </c>
      <c r="H14" s="31"/>
      <c r="I14" s="33"/>
      <c r="J14" s="33"/>
      <c r="K14" s="33"/>
      <c r="L14" s="33"/>
      <c r="M14" s="38"/>
      <c r="N14" s="32">
        <f t="shared" si="0"/>
        <v>80</v>
      </c>
      <c r="O14" s="33">
        <f t="shared" ref="O14:O22" si="3">+F14</f>
        <v>900</v>
      </c>
      <c r="P14" s="33">
        <f t="shared" si="1"/>
        <v>72000</v>
      </c>
      <c r="Q14" s="67"/>
      <c r="R14" s="68"/>
      <c r="S14" s="68"/>
    </row>
    <row r="15" spans="1:19" s="39" customFormat="1" ht="18" customHeight="1" x14ac:dyDescent="0.2">
      <c r="A15" s="38" t="s">
        <v>31</v>
      </c>
      <c r="B15" s="30">
        <v>110240</v>
      </c>
      <c r="C15" s="30" t="s">
        <v>34</v>
      </c>
      <c r="D15" s="16" t="s">
        <v>33</v>
      </c>
      <c r="E15" s="1">
        <f>40/E11</f>
        <v>7.619047619047619E-3</v>
      </c>
      <c r="F15" s="5">
        <v>1000</v>
      </c>
      <c r="G15" s="5">
        <f t="shared" si="2"/>
        <v>7.6190476190476186</v>
      </c>
      <c r="H15" s="31"/>
      <c r="I15" s="33"/>
      <c r="J15" s="33"/>
      <c r="K15" s="33"/>
      <c r="L15" s="33"/>
      <c r="M15" s="38"/>
      <c r="N15" s="32">
        <f t="shared" si="0"/>
        <v>40</v>
      </c>
      <c r="O15" s="33">
        <f t="shared" si="3"/>
        <v>1000</v>
      </c>
      <c r="P15" s="33">
        <f t="shared" si="1"/>
        <v>40000</v>
      </c>
      <c r="Q15" s="67"/>
      <c r="R15" s="68"/>
      <c r="S15" s="68"/>
    </row>
    <row r="16" spans="1:19" s="39" customFormat="1" ht="18" customHeight="1" x14ac:dyDescent="0.2">
      <c r="A16" s="38" t="s">
        <v>31</v>
      </c>
      <c r="B16" s="30">
        <v>110020</v>
      </c>
      <c r="C16" s="30" t="s">
        <v>35</v>
      </c>
      <c r="D16" s="16" t="s">
        <v>36</v>
      </c>
      <c r="E16" s="1">
        <v>0.1</v>
      </c>
      <c r="F16" s="5">
        <v>3000</v>
      </c>
      <c r="G16" s="5">
        <f t="shared" si="2"/>
        <v>300</v>
      </c>
      <c r="H16" s="31"/>
      <c r="I16" s="33"/>
      <c r="J16" s="33"/>
      <c r="K16" s="33"/>
      <c r="L16" s="33"/>
      <c r="M16" s="38"/>
      <c r="N16" s="32">
        <f t="shared" si="0"/>
        <v>525</v>
      </c>
      <c r="O16" s="33">
        <f t="shared" si="3"/>
        <v>3000</v>
      </c>
      <c r="P16" s="33">
        <f t="shared" si="1"/>
        <v>1575000</v>
      </c>
      <c r="Q16" s="67"/>
      <c r="R16" s="68"/>
      <c r="S16" s="68"/>
    </row>
    <row r="17" spans="1:19" s="39" customFormat="1" ht="18" customHeight="1" x14ac:dyDescent="0.2">
      <c r="A17" s="38" t="s">
        <v>31</v>
      </c>
      <c r="B17" s="30">
        <v>109031</v>
      </c>
      <c r="C17" s="30" t="s">
        <v>37</v>
      </c>
      <c r="D17" s="16" t="s">
        <v>38</v>
      </c>
      <c r="E17" s="1">
        <f>80/E11</f>
        <v>1.5238095238095238E-2</v>
      </c>
      <c r="F17" s="5">
        <v>6900</v>
      </c>
      <c r="G17" s="5">
        <f t="shared" si="2"/>
        <v>105.14285714285714</v>
      </c>
      <c r="H17" s="31"/>
      <c r="I17" s="33"/>
      <c r="J17" s="33"/>
      <c r="K17" s="33"/>
      <c r="L17" s="33"/>
      <c r="M17" s="38"/>
      <c r="N17" s="32">
        <f t="shared" si="0"/>
        <v>80</v>
      </c>
      <c r="O17" s="33">
        <f t="shared" si="3"/>
        <v>6900</v>
      </c>
      <c r="P17" s="33">
        <f t="shared" si="1"/>
        <v>552000</v>
      </c>
      <c r="Q17" s="67"/>
      <c r="R17" s="68"/>
      <c r="S17" s="68"/>
    </row>
    <row r="18" spans="1:19" s="39" customFormat="1" ht="18" customHeight="1" x14ac:dyDescent="0.2">
      <c r="A18" s="38" t="s">
        <v>31</v>
      </c>
      <c r="B18" s="30">
        <v>110314</v>
      </c>
      <c r="C18" s="30" t="s">
        <v>39</v>
      </c>
      <c r="D18" s="16" t="s">
        <v>36</v>
      </c>
      <c r="E18" s="1">
        <v>0.4</v>
      </c>
      <c r="F18" s="5">
        <v>6850</v>
      </c>
      <c r="G18" s="5">
        <f t="shared" si="2"/>
        <v>2740</v>
      </c>
      <c r="H18" s="31"/>
      <c r="I18" s="33"/>
      <c r="J18" s="33"/>
      <c r="K18" s="33"/>
      <c r="L18" s="33"/>
      <c r="M18" s="38"/>
      <c r="N18" s="32">
        <f t="shared" si="0"/>
        <v>2100</v>
      </c>
      <c r="O18" s="33">
        <f t="shared" si="3"/>
        <v>6850</v>
      </c>
      <c r="P18" s="33">
        <f t="shared" si="1"/>
        <v>14385000</v>
      </c>
      <c r="Q18" s="67"/>
      <c r="R18" s="68"/>
      <c r="S18" s="68"/>
    </row>
    <row r="19" spans="1:19" s="39" customFormat="1" ht="18" customHeight="1" x14ac:dyDescent="0.2">
      <c r="A19" s="38" t="s">
        <v>31</v>
      </c>
      <c r="B19" s="30">
        <v>110090</v>
      </c>
      <c r="C19" s="30" t="s">
        <v>40</v>
      </c>
      <c r="D19" s="16" t="s">
        <v>33</v>
      </c>
      <c r="E19" s="1">
        <f>15/E11</f>
        <v>2.8571428571428571E-3</v>
      </c>
      <c r="F19" s="5">
        <v>1100</v>
      </c>
      <c r="G19" s="5">
        <f t="shared" si="2"/>
        <v>3.1428571428571428</v>
      </c>
      <c r="H19" s="31"/>
      <c r="I19" s="33"/>
      <c r="J19" s="33"/>
      <c r="K19" s="33"/>
      <c r="L19" s="33"/>
      <c r="M19" s="38"/>
      <c r="N19" s="32">
        <f t="shared" si="0"/>
        <v>15</v>
      </c>
      <c r="O19" s="33">
        <f t="shared" si="3"/>
        <v>1100</v>
      </c>
      <c r="P19" s="33">
        <f t="shared" si="1"/>
        <v>16500</v>
      </c>
      <c r="Q19" s="38"/>
      <c r="R19" s="64"/>
    </row>
    <row r="20" spans="1:19" ht="18" customHeight="1" x14ac:dyDescent="0.2">
      <c r="A20" s="38" t="s">
        <v>31</v>
      </c>
      <c r="B20" s="30">
        <v>110062</v>
      </c>
      <c r="C20" s="30" t="s">
        <v>41</v>
      </c>
      <c r="D20" s="23" t="s">
        <v>33</v>
      </c>
      <c r="E20" s="24">
        <f>30/E11</f>
        <v>5.7142857142857143E-3</v>
      </c>
      <c r="F20" s="5">
        <v>4500</v>
      </c>
      <c r="G20" s="5">
        <f t="shared" si="2"/>
        <v>25.714285714285715</v>
      </c>
      <c r="N20" s="32">
        <f t="shared" si="0"/>
        <v>30</v>
      </c>
      <c r="O20" s="33">
        <f t="shared" si="3"/>
        <v>4500</v>
      </c>
      <c r="P20" s="33">
        <f t="shared" si="1"/>
        <v>135000</v>
      </c>
    </row>
    <row r="21" spans="1:19" ht="18" customHeight="1" x14ac:dyDescent="0.2">
      <c r="A21" s="38" t="s">
        <v>31</v>
      </c>
      <c r="B21" s="30">
        <v>110112</v>
      </c>
      <c r="C21" s="30" t="s">
        <v>42</v>
      </c>
      <c r="D21" s="16" t="s">
        <v>43</v>
      </c>
      <c r="E21" s="105">
        <f>25/E11</f>
        <v>4.7619047619047623E-3</v>
      </c>
      <c r="F21" s="5">
        <v>13500</v>
      </c>
      <c r="G21" s="5">
        <f t="shared" si="2"/>
        <v>64.285714285714292</v>
      </c>
      <c r="N21" s="32">
        <f t="shared" si="0"/>
        <v>25.000000000000004</v>
      </c>
      <c r="O21" s="33">
        <f t="shared" si="3"/>
        <v>13500</v>
      </c>
      <c r="P21" s="33">
        <f t="shared" si="1"/>
        <v>337500.00000000006</v>
      </c>
    </row>
    <row r="22" spans="1:19" ht="18" customHeight="1" x14ac:dyDescent="0.2">
      <c r="A22" s="38" t="s">
        <v>31</v>
      </c>
      <c r="B22" s="30"/>
      <c r="C22" s="30" t="s">
        <v>159</v>
      </c>
      <c r="D22" s="16" t="s">
        <v>158</v>
      </c>
      <c r="E22" s="105">
        <f>0.5/E11</f>
        <v>9.5238095238095241E-5</v>
      </c>
      <c r="F22" s="5">
        <v>37000</v>
      </c>
      <c r="G22" s="5">
        <f t="shared" si="2"/>
        <v>3.5238095238095237</v>
      </c>
      <c r="N22" s="32">
        <f t="shared" si="0"/>
        <v>0.5</v>
      </c>
      <c r="O22" s="33">
        <f t="shared" si="3"/>
        <v>37000</v>
      </c>
      <c r="P22" s="33">
        <f t="shared" si="1"/>
        <v>18500</v>
      </c>
    </row>
    <row r="23" spans="1:19" ht="18" customHeight="1" x14ac:dyDescent="0.2">
      <c r="H23" s="17">
        <f>SUM(H11:H21)</f>
        <v>36767812.5</v>
      </c>
      <c r="P23" s="33">
        <f>SUM(P11:P22)</f>
        <v>36767812.5</v>
      </c>
    </row>
    <row r="24" spans="1:19" ht="18" customHeight="1" x14ac:dyDescent="0.2"/>
    <row r="25" spans="1:19" ht="18" customHeight="1" x14ac:dyDescent="0.2"/>
    <row r="26" spans="1:19" ht="18" customHeight="1" x14ac:dyDescent="0.2"/>
    <row r="27" spans="1:19" ht="18" customHeight="1" x14ac:dyDescent="0.2"/>
    <row r="28" spans="1:19" ht="18" customHeight="1" x14ac:dyDescent="0.2"/>
    <row r="29" spans="1:19" ht="18" customHeight="1" x14ac:dyDescent="0.2"/>
    <row r="30" spans="1:19" ht="18" customHeight="1" x14ac:dyDescent="0.2"/>
    <row r="31" spans="1:19" ht="18" customHeight="1" x14ac:dyDescent="0.2"/>
    <row r="32" spans="1:19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</sheetData>
  <autoFilter ref="A10:Q19" xr:uid="{00000000-0009-0000-0000-000000000000}"/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96"/>
  <sheetViews>
    <sheetView topLeftCell="A65" zoomScaleNormal="100" workbookViewId="0">
      <selection activeCell="J7" sqref="J7"/>
    </sheetView>
  </sheetViews>
  <sheetFormatPr baseColWidth="10" defaultColWidth="12" defaultRowHeight="10.199999999999999" x14ac:dyDescent="0.2"/>
  <cols>
    <col min="1" max="2" width="10.140625" style="15" customWidth="1"/>
    <col min="3" max="3" width="66" style="3" customWidth="1"/>
    <col min="4" max="4" width="12.85546875" style="16" customWidth="1"/>
    <col min="5" max="5" width="13.28515625" style="1" customWidth="1"/>
    <col min="6" max="6" width="14.140625" style="5" customWidth="1"/>
    <col min="7" max="7" width="16.28515625" style="5" customWidth="1"/>
    <col min="8" max="9" width="16.140625" style="15" customWidth="1"/>
    <col min="10" max="16384" width="12" style="15"/>
  </cols>
  <sheetData>
    <row r="1" spans="1:16" ht="47.25" customHeight="1" x14ac:dyDescent="0.2">
      <c r="A1" s="19"/>
      <c r="C1" s="62"/>
      <c r="F1" s="1"/>
      <c r="G1" s="1"/>
    </row>
    <row r="2" spans="1:16" ht="12" x14ac:dyDescent="0.2">
      <c r="A2" s="21"/>
      <c r="C2" s="36" t="s">
        <v>44</v>
      </c>
      <c r="F2" s="1"/>
      <c r="G2" s="1"/>
    </row>
    <row r="3" spans="1:16" x14ac:dyDescent="0.2">
      <c r="F3" s="1"/>
      <c r="G3" s="1"/>
    </row>
    <row r="4" spans="1:16" x14ac:dyDescent="0.2">
      <c r="A4" s="15" t="s">
        <v>0</v>
      </c>
      <c r="B4" s="15" t="s">
        <v>45</v>
      </c>
      <c r="C4" s="15"/>
      <c r="H4" s="7"/>
      <c r="I4" s="5"/>
      <c r="J4" s="5"/>
      <c r="K4" s="20"/>
      <c r="L4" s="20"/>
      <c r="M4" s="16"/>
      <c r="N4" s="16"/>
      <c r="O4" s="16"/>
      <c r="P4" s="16"/>
    </row>
    <row r="5" spans="1:16" x14ac:dyDescent="0.2">
      <c r="A5" s="15" t="s">
        <v>2</v>
      </c>
      <c r="B5" t="s">
        <v>46</v>
      </c>
      <c r="C5" s="15"/>
      <c r="H5" s="7"/>
      <c r="I5" s="5"/>
      <c r="J5" s="5"/>
      <c r="K5" s="20"/>
      <c r="L5" s="20"/>
      <c r="M5" s="16"/>
      <c r="N5" s="16"/>
      <c r="O5" s="16"/>
      <c r="P5" s="16"/>
    </row>
    <row r="6" spans="1:16" x14ac:dyDescent="0.2">
      <c r="A6" s="15" t="s">
        <v>4</v>
      </c>
      <c r="B6" s="28">
        <v>45917</v>
      </c>
      <c r="C6" s="15"/>
      <c r="H6" s="7"/>
      <c r="I6" s="5"/>
      <c r="J6" s="5"/>
      <c r="K6" s="20"/>
      <c r="L6" s="20"/>
      <c r="M6" s="16"/>
      <c r="N6" s="16"/>
      <c r="O6" s="16"/>
      <c r="P6" s="16"/>
    </row>
    <row r="7" spans="1:16" x14ac:dyDescent="0.2">
      <c r="A7" s="15" t="s">
        <v>5</v>
      </c>
      <c r="B7" s="15" t="s">
        <v>47</v>
      </c>
      <c r="H7" s="7"/>
      <c r="I7" s="5"/>
      <c r="J7" s="5"/>
      <c r="K7" s="20"/>
      <c r="L7" s="20"/>
      <c r="M7" s="16"/>
      <c r="N7" s="16"/>
      <c r="O7" s="16"/>
      <c r="P7" s="16"/>
    </row>
    <row r="8" spans="1:16" s="39" customFormat="1" ht="18" customHeight="1" x14ac:dyDescent="0.2">
      <c r="A8" s="15" t="s">
        <v>7</v>
      </c>
      <c r="B8" s="15"/>
      <c r="C8" s="15"/>
      <c r="D8" s="36"/>
      <c r="E8" s="37"/>
      <c r="F8" s="34"/>
      <c r="G8" s="34"/>
      <c r="H8" s="34"/>
      <c r="I8" s="34"/>
      <c r="J8" s="34"/>
      <c r="K8" s="22"/>
      <c r="L8" s="22"/>
      <c r="M8" s="38"/>
      <c r="N8" s="32"/>
      <c r="O8" s="33"/>
      <c r="P8" s="33"/>
    </row>
    <row r="10" spans="1:16" s="3" customFormat="1" ht="20.399999999999999" x14ac:dyDescent="0.2">
      <c r="A10" s="2" t="s">
        <v>8</v>
      </c>
      <c r="B10" s="2" t="s">
        <v>48</v>
      </c>
      <c r="C10" s="3" t="s">
        <v>49</v>
      </c>
      <c r="D10" s="2" t="s">
        <v>11</v>
      </c>
      <c r="E10" s="6" t="s">
        <v>12</v>
      </c>
      <c r="F10" s="7" t="s">
        <v>50</v>
      </c>
      <c r="G10" s="7" t="s">
        <v>51</v>
      </c>
    </row>
    <row r="11" spans="1:16" ht="18" customHeight="1" x14ac:dyDescent="0.2">
      <c r="A11" s="8" t="s">
        <v>52</v>
      </c>
      <c r="B11" s="8"/>
      <c r="C11" s="9" t="s">
        <v>53</v>
      </c>
      <c r="D11" s="10"/>
      <c r="E11" s="11"/>
      <c r="F11" s="12"/>
      <c r="G11" s="13">
        <f>SUM(G12:G14)</f>
        <v>36749312.5</v>
      </c>
    </row>
    <row r="12" spans="1:16" ht="18" customHeight="1" x14ac:dyDescent="0.2">
      <c r="A12" s="14" t="s">
        <v>52</v>
      </c>
      <c r="B12" s="14" t="s">
        <v>52</v>
      </c>
      <c r="C12" s="3" t="s">
        <v>54</v>
      </c>
      <c r="D12" s="16" t="s">
        <v>55</v>
      </c>
      <c r="E12" s="1">
        <v>1</v>
      </c>
      <c r="F12" s="5">
        <f>SUMIF('Análisis de precios'!$A$9:$A$21,"MAT",'Análisis de precios'!$P$9:$P$21)</f>
        <v>17113000</v>
      </c>
      <c r="G12" s="5">
        <f>+E12*F12</f>
        <v>17113000</v>
      </c>
      <c r="H12" s="15">
        <f>+G12/$G$84</f>
        <v>0.22545338331658302</v>
      </c>
      <c r="I12" s="15">
        <f>+G12/$I$84</f>
        <v>0.24912598856482424</v>
      </c>
      <c r="J12" s="15">
        <v>4932974.38</v>
      </c>
    </row>
    <row r="13" spans="1:16" ht="18" customHeight="1" x14ac:dyDescent="0.2">
      <c r="A13" s="14" t="s">
        <v>52</v>
      </c>
      <c r="B13" s="14" t="s">
        <v>56</v>
      </c>
      <c r="C13" s="3" t="s">
        <v>57</v>
      </c>
      <c r="D13" s="16" t="s">
        <v>55</v>
      </c>
      <c r="E13" s="1">
        <v>1</v>
      </c>
      <c r="F13" s="5">
        <f>SUMIF('Análisis de precios'!$A$9:$A$21,"MO",'Análisis de precios'!$P$9:$P$21)</f>
        <v>19636312.5</v>
      </c>
      <c r="G13" s="5">
        <f>+E13*F13</f>
        <v>19636312.5</v>
      </c>
      <c r="H13" s="15">
        <f>+G13/$G$84</f>
        <v>0.25869649324996846</v>
      </c>
      <c r="I13" s="15">
        <f>+G13/$I$84</f>
        <v>0.28585962504121515</v>
      </c>
    </row>
    <row r="14" spans="1:16" ht="18" customHeight="1" x14ac:dyDescent="0.2">
      <c r="A14" s="14" t="s">
        <v>52</v>
      </c>
      <c r="B14" s="14" t="s">
        <v>58</v>
      </c>
      <c r="C14" s="3" t="s">
        <v>59</v>
      </c>
      <c r="D14" s="16" t="s">
        <v>55</v>
      </c>
      <c r="E14" s="1">
        <v>1</v>
      </c>
      <c r="F14" s="5">
        <f>SUMIF('Análisis de precios'!$A$9:$A$12,"EQUIPOS",'Análisis de precios'!$P$9:$P$12)</f>
        <v>0</v>
      </c>
      <c r="G14" s="5">
        <f>+E14*F14</f>
        <v>0</v>
      </c>
    </row>
    <row r="15" spans="1:16" ht="18" customHeight="1" x14ac:dyDescent="0.2">
      <c r="A15" s="14"/>
      <c r="B15" s="14"/>
    </row>
    <row r="16" spans="1:16" ht="18" customHeight="1" x14ac:dyDescent="0.2">
      <c r="A16" s="8" t="s">
        <v>56</v>
      </c>
      <c r="B16" s="8"/>
      <c r="C16" s="9" t="s">
        <v>60</v>
      </c>
      <c r="D16" s="10"/>
      <c r="E16" s="11"/>
      <c r="F16" s="12"/>
      <c r="G16" s="13">
        <f>SUM(G17:G61)</f>
        <v>3316788</v>
      </c>
      <c r="H16" s="15">
        <f>+G16/$G$84</f>
        <v>4.3696667816504574E-2</v>
      </c>
    </row>
    <row r="17" spans="1:7" ht="18" customHeight="1" x14ac:dyDescent="0.2">
      <c r="A17"/>
      <c r="B17" s="14"/>
      <c r="C17" t="s">
        <v>61</v>
      </c>
      <c r="D17" s="16" t="s">
        <v>62</v>
      </c>
      <c r="E17" s="1">
        <v>1</v>
      </c>
      <c r="F17" s="5">
        <v>1350000</v>
      </c>
      <c r="G17" s="34">
        <f>E17*F17</f>
        <v>1350000</v>
      </c>
    </row>
    <row r="18" spans="1:7" ht="18" customHeight="1" x14ac:dyDescent="0.2">
      <c r="A18" s="14"/>
      <c r="B18" s="14"/>
      <c r="C18" s="3" t="s">
        <v>63</v>
      </c>
      <c r="D18" s="16" t="s">
        <v>64</v>
      </c>
      <c r="E18" s="1">
        <v>0</v>
      </c>
      <c r="F18" s="5">
        <v>50000</v>
      </c>
      <c r="G18" s="34">
        <f t="shared" ref="G18:G61" si="0">E18*F18</f>
        <v>0</v>
      </c>
    </row>
    <row r="19" spans="1:7" ht="18" customHeight="1" x14ac:dyDescent="0.2">
      <c r="A19" s="14"/>
      <c r="B19" s="14"/>
      <c r="C19" s="3" t="s">
        <v>65</v>
      </c>
      <c r="D19" s="16" t="s">
        <v>64</v>
      </c>
      <c r="E19" s="1">
        <v>0</v>
      </c>
      <c r="F19" s="5">
        <v>5000</v>
      </c>
      <c r="G19" s="34">
        <f t="shared" si="0"/>
        <v>0</v>
      </c>
    </row>
    <row r="20" spans="1:7" ht="18" customHeight="1" x14ac:dyDescent="0.2">
      <c r="A20" s="14"/>
      <c r="B20" s="14"/>
      <c r="C20" s="3" t="s">
        <v>66</v>
      </c>
      <c r="D20" s="16" t="s">
        <v>67</v>
      </c>
      <c r="E20" s="1">
        <v>300</v>
      </c>
      <c r="F20" s="5">
        <v>125</v>
      </c>
      <c r="G20" s="34">
        <f t="shared" si="0"/>
        <v>37500</v>
      </c>
    </row>
    <row r="21" spans="1:7" ht="18" customHeight="1" x14ac:dyDescent="0.2">
      <c r="A21" s="14"/>
      <c r="B21" s="14"/>
      <c r="C21" s="3" t="s">
        <v>68</v>
      </c>
      <c r="D21" s="16" t="s">
        <v>69</v>
      </c>
      <c r="E21" s="1">
        <v>300</v>
      </c>
      <c r="F21" s="5">
        <v>125</v>
      </c>
      <c r="G21" s="34">
        <f t="shared" si="0"/>
        <v>37500</v>
      </c>
    </row>
    <row r="22" spans="1:7" ht="18" customHeight="1" x14ac:dyDescent="0.2">
      <c r="A22" s="14"/>
      <c r="B22" s="14"/>
      <c r="C22" s="3" t="s">
        <v>70</v>
      </c>
      <c r="D22" s="16" t="s">
        <v>33</v>
      </c>
      <c r="E22" s="1">
        <v>0</v>
      </c>
      <c r="F22" s="5">
        <v>0</v>
      </c>
      <c r="G22" s="34">
        <f t="shared" si="0"/>
        <v>0</v>
      </c>
    </row>
    <row r="23" spans="1:7" ht="18" customHeight="1" x14ac:dyDescent="0.2">
      <c r="A23" s="14"/>
      <c r="B23" s="14"/>
      <c r="C23" s="3" t="s">
        <v>71</v>
      </c>
      <c r="D23" s="16" t="s">
        <v>55</v>
      </c>
      <c r="E23" s="1">
        <v>0</v>
      </c>
      <c r="F23" s="5">
        <v>0</v>
      </c>
      <c r="G23" s="34">
        <f t="shared" si="0"/>
        <v>0</v>
      </c>
    </row>
    <row r="24" spans="1:7" ht="18" customHeight="1" x14ac:dyDescent="0.2">
      <c r="A24" s="14"/>
      <c r="B24" s="14"/>
      <c r="C24" s="3" t="s">
        <v>72</v>
      </c>
      <c r="D24" s="16" t="s">
        <v>55</v>
      </c>
      <c r="E24" s="1">
        <v>0</v>
      </c>
      <c r="F24" s="5">
        <v>0</v>
      </c>
      <c r="G24" s="34">
        <f t="shared" si="0"/>
        <v>0</v>
      </c>
    </row>
    <row r="25" spans="1:7" ht="18" customHeight="1" x14ac:dyDescent="0.2">
      <c r="A25" s="14"/>
      <c r="B25" s="14"/>
      <c r="C25" s="3" t="s">
        <v>73</v>
      </c>
      <c r="D25" s="16" t="s">
        <v>62</v>
      </c>
      <c r="E25" s="1">
        <v>1</v>
      </c>
      <c r="F25" s="5">
        <v>18000</v>
      </c>
      <c r="G25" s="34">
        <f t="shared" si="0"/>
        <v>18000</v>
      </c>
    </row>
    <row r="26" spans="1:7" ht="18" customHeight="1" x14ac:dyDescent="0.2">
      <c r="A26" s="14"/>
      <c r="B26" s="14"/>
      <c r="C26" s="3" t="s">
        <v>74</v>
      </c>
      <c r="D26" s="16" t="s">
        <v>75</v>
      </c>
      <c r="E26" s="1">
        <v>0.16600000000000001</v>
      </c>
      <c r="F26" s="5">
        <v>85000</v>
      </c>
      <c r="G26" s="34">
        <f t="shared" si="0"/>
        <v>14110</v>
      </c>
    </row>
    <row r="27" spans="1:7" ht="18" customHeight="1" x14ac:dyDescent="0.2">
      <c r="A27" s="14"/>
      <c r="B27" s="14"/>
      <c r="G27" s="34">
        <f t="shared" si="0"/>
        <v>0</v>
      </c>
    </row>
    <row r="28" spans="1:7" ht="18" customHeight="1" x14ac:dyDescent="0.2">
      <c r="A28" s="14"/>
      <c r="B28" s="14"/>
      <c r="C28" s="3" t="s">
        <v>76</v>
      </c>
      <c r="D28" s="16" t="s">
        <v>77</v>
      </c>
      <c r="E28" s="1">
        <v>0</v>
      </c>
      <c r="F28" s="5">
        <v>0</v>
      </c>
      <c r="G28" s="34">
        <f t="shared" si="0"/>
        <v>0</v>
      </c>
    </row>
    <row r="29" spans="1:7" ht="18" customHeight="1" x14ac:dyDescent="0.2">
      <c r="A29" s="14"/>
      <c r="B29" s="14"/>
      <c r="C29" s="3" t="s">
        <v>78</v>
      </c>
      <c r="D29" s="16" t="s">
        <v>77</v>
      </c>
      <c r="E29" s="1">
        <v>0</v>
      </c>
      <c r="F29" s="5">
        <v>0</v>
      </c>
      <c r="G29" s="34">
        <f t="shared" si="0"/>
        <v>0</v>
      </c>
    </row>
    <row r="30" spans="1:7" ht="18" customHeight="1" x14ac:dyDescent="0.2">
      <c r="A30" s="14"/>
      <c r="B30" s="14"/>
      <c r="C30" s="3" t="s">
        <v>79</v>
      </c>
      <c r="D30" s="16" t="s">
        <v>80</v>
      </c>
      <c r="E30" s="1">
        <v>0</v>
      </c>
      <c r="F30" s="5">
        <v>0</v>
      </c>
      <c r="G30" s="34">
        <f t="shared" si="0"/>
        <v>0</v>
      </c>
    </row>
    <row r="31" spans="1:7" ht="18" customHeight="1" x14ac:dyDescent="0.2">
      <c r="A31" s="14"/>
      <c r="B31" s="14"/>
      <c r="C31" s="3" t="s">
        <v>81</v>
      </c>
      <c r="D31" s="16" t="s">
        <v>82</v>
      </c>
      <c r="E31" s="1">
        <v>0</v>
      </c>
      <c r="F31" s="5">
        <v>0</v>
      </c>
      <c r="G31" s="34">
        <f t="shared" si="0"/>
        <v>0</v>
      </c>
    </row>
    <row r="32" spans="1:7" ht="18" customHeight="1" x14ac:dyDescent="0.2">
      <c r="A32" s="14"/>
      <c r="B32" s="14"/>
      <c r="C32" s="3" t="s">
        <v>83</v>
      </c>
      <c r="D32" s="16" t="s">
        <v>33</v>
      </c>
      <c r="E32" s="1">
        <v>0</v>
      </c>
      <c r="F32" s="5">
        <v>1000</v>
      </c>
      <c r="G32" s="34">
        <f t="shared" si="0"/>
        <v>0</v>
      </c>
    </row>
    <row r="33" spans="1:7" ht="18" customHeight="1" x14ac:dyDescent="0.2">
      <c r="A33" s="14"/>
      <c r="B33" s="14"/>
      <c r="C33" s="3" t="s">
        <v>71</v>
      </c>
      <c r="D33" s="16" t="s">
        <v>55</v>
      </c>
      <c r="E33" s="1">
        <v>0</v>
      </c>
      <c r="F33" s="5">
        <v>0</v>
      </c>
      <c r="G33" s="34">
        <f t="shared" si="0"/>
        <v>0</v>
      </c>
    </row>
    <row r="34" spans="1:7" ht="18" customHeight="1" x14ac:dyDescent="0.2">
      <c r="A34" s="14"/>
      <c r="B34" s="14"/>
      <c r="C34" s="3" t="s">
        <v>84</v>
      </c>
      <c r="D34" s="16" t="s">
        <v>85</v>
      </c>
      <c r="E34" s="1">
        <v>4</v>
      </c>
      <c r="F34" s="5">
        <v>18000</v>
      </c>
      <c r="G34" s="34">
        <f t="shared" si="0"/>
        <v>72000</v>
      </c>
    </row>
    <row r="35" spans="1:7" ht="18" customHeight="1" x14ac:dyDescent="0.2">
      <c r="A35" s="14"/>
      <c r="B35" s="14"/>
      <c r="C35" s="3" t="s">
        <v>86</v>
      </c>
      <c r="D35" s="16" t="s">
        <v>75</v>
      </c>
      <c r="E35" s="1">
        <v>2</v>
      </c>
      <c r="F35" s="5">
        <v>85000</v>
      </c>
      <c r="G35" s="34">
        <f t="shared" si="0"/>
        <v>170000</v>
      </c>
    </row>
    <row r="36" spans="1:7" ht="18" customHeight="1" x14ac:dyDescent="0.2">
      <c r="A36" s="14"/>
      <c r="B36" s="14"/>
      <c r="G36" s="34"/>
    </row>
    <row r="37" spans="1:7" ht="18" customHeight="1" x14ac:dyDescent="0.2">
      <c r="A37" s="14"/>
      <c r="B37" s="14"/>
      <c r="C37" s="3" t="s">
        <v>87</v>
      </c>
      <c r="D37" s="16" t="s">
        <v>55</v>
      </c>
      <c r="E37" s="1">
        <v>4</v>
      </c>
      <c r="F37" s="5">
        <v>160000</v>
      </c>
      <c r="G37" s="34">
        <f t="shared" si="0"/>
        <v>640000</v>
      </c>
    </row>
    <row r="38" spans="1:7" ht="18" customHeight="1" x14ac:dyDescent="0.2">
      <c r="A38" s="14"/>
      <c r="B38" s="14"/>
      <c r="C38" s="3" t="s">
        <v>88</v>
      </c>
      <c r="D38" s="16" t="s">
        <v>89</v>
      </c>
      <c r="E38" s="1">
        <v>0</v>
      </c>
      <c r="F38" s="5">
        <v>35000</v>
      </c>
      <c r="G38" s="34">
        <f t="shared" ref="G38" si="1">E38*F38</f>
        <v>0</v>
      </c>
    </row>
    <row r="39" spans="1:7" ht="18" customHeight="1" x14ac:dyDescent="0.2">
      <c r="A39" s="14"/>
      <c r="B39" s="14"/>
      <c r="C39" s="3" t="s">
        <v>90</v>
      </c>
      <c r="D39" s="16" t="s">
        <v>55</v>
      </c>
      <c r="E39" s="1">
        <v>1</v>
      </c>
      <c r="F39" s="5">
        <v>800000</v>
      </c>
      <c r="G39" s="34">
        <f t="shared" si="0"/>
        <v>800000</v>
      </c>
    </row>
    <row r="40" spans="1:7" ht="18" customHeight="1" x14ac:dyDescent="0.2">
      <c r="A40" s="14"/>
      <c r="B40" s="14"/>
      <c r="C40" s="3" t="s">
        <v>91</v>
      </c>
      <c r="D40" s="16" t="s">
        <v>55</v>
      </c>
      <c r="E40" s="1">
        <v>0</v>
      </c>
      <c r="F40" s="5">
        <v>600000</v>
      </c>
      <c r="G40" s="34">
        <f t="shared" si="0"/>
        <v>0</v>
      </c>
    </row>
    <row r="41" spans="1:7" ht="18" customHeight="1" x14ac:dyDescent="0.2">
      <c r="A41" s="14"/>
      <c r="B41" s="14"/>
      <c r="G41" s="34"/>
    </row>
    <row r="42" spans="1:7" ht="18" customHeight="1" x14ac:dyDescent="0.2">
      <c r="A42" s="14"/>
      <c r="B42" s="14"/>
      <c r="C42" s="3" t="s">
        <v>92</v>
      </c>
      <c r="D42" s="16" t="s">
        <v>80</v>
      </c>
      <c r="E42" s="1">
        <v>0</v>
      </c>
      <c r="F42" s="5">
        <v>0</v>
      </c>
      <c r="G42" s="34">
        <f t="shared" si="0"/>
        <v>0</v>
      </c>
    </row>
    <row r="43" spans="1:7" ht="18" customHeight="1" x14ac:dyDescent="0.2">
      <c r="A43" s="14"/>
      <c r="B43" s="14"/>
      <c r="C43" s="3" t="s">
        <v>93</v>
      </c>
      <c r="D43" s="16" t="s">
        <v>89</v>
      </c>
      <c r="E43" s="1">
        <v>0</v>
      </c>
      <c r="F43" s="5">
        <v>0</v>
      </c>
      <c r="G43" s="34">
        <f t="shared" si="0"/>
        <v>0</v>
      </c>
    </row>
    <row r="44" spans="1:7" ht="18" customHeight="1" x14ac:dyDescent="0.2">
      <c r="A44" s="14"/>
      <c r="B44" s="14"/>
      <c r="C44" s="3" t="s">
        <v>94</v>
      </c>
      <c r="D44" s="16" t="s">
        <v>89</v>
      </c>
      <c r="E44" s="1">
        <v>0</v>
      </c>
      <c r="F44" s="5">
        <v>0</v>
      </c>
      <c r="G44" s="34">
        <f t="shared" si="0"/>
        <v>0</v>
      </c>
    </row>
    <row r="45" spans="1:7" ht="18" customHeight="1" x14ac:dyDescent="0.2">
      <c r="A45" s="14"/>
      <c r="B45" s="14"/>
      <c r="C45" s="3" t="s">
        <v>79</v>
      </c>
      <c r="D45" s="16" t="s">
        <v>80</v>
      </c>
      <c r="E45" s="1">
        <v>300</v>
      </c>
      <c r="F45" s="5">
        <v>125</v>
      </c>
      <c r="G45" s="34">
        <f t="shared" si="0"/>
        <v>37500</v>
      </c>
    </row>
    <row r="46" spans="1:7" ht="18" customHeight="1" x14ac:dyDescent="0.2">
      <c r="A46" s="14"/>
      <c r="B46" s="14"/>
      <c r="C46" s="3" t="s">
        <v>95</v>
      </c>
      <c r="D46" s="16" t="s">
        <v>80</v>
      </c>
      <c r="E46" s="1">
        <v>300</v>
      </c>
      <c r="F46" s="5">
        <v>125</v>
      </c>
      <c r="G46" s="34">
        <f>E46*F46</f>
        <v>37500</v>
      </c>
    </row>
    <row r="47" spans="1:7" ht="18" customHeight="1" x14ac:dyDescent="0.2">
      <c r="A47" s="14"/>
      <c r="B47" s="14"/>
      <c r="C47" s="3" t="s">
        <v>96</v>
      </c>
      <c r="D47" s="16" t="s">
        <v>55</v>
      </c>
      <c r="E47" s="1">
        <v>0</v>
      </c>
      <c r="F47" s="5">
        <v>0</v>
      </c>
      <c r="G47" s="34">
        <f>E47*F47</f>
        <v>0</v>
      </c>
    </row>
    <row r="48" spans="1:7" ht="18" customHeight="1" x14ac:dyDescent="0.2">
      <c r="A48" s="14"/>
      <c r="B48" s="14"/>
      <c r="C48" s="3" t="s">
        <v>71</v>
      </c>
      <c r="D48" s="16" t="s">
        <v>55</v>
      </c>
      <c r="E48" s="1">
        <v>0</v>
      </c>
      <c r="F48" s="5">
        <v>0</v>
      </c>
      <c r="G48" s="34">
        <f t="shared" si="0"/>
        <v>0</v>
      </c>
    </row>
    <row r="49" spans="1:7" ht="18" customHeight="1" x14ac:dyDescent="0.2">
      <c r="A49" s="14"/>
      <c r="B49" s="14"/>
      <c r="C49" s="3" t="s">
        <v>97</v>
      </c>
      <c r="D49" s="16" t="s">
        <v>55</v>
      </c>
      <c r="E49" s="1">
        <v>6.0000000000000001E-3</v>
      </c>
      <c r="F49" s="60">
        <f>F12</f>
        <v>17113000</v>
      </c>
      <c r="G49" s="34">
        <f t="shared" si="0"/>
        <v>102678</v>
      </c>
    </row>
    <row r="50" spans="1:7" ht="18" customHeight="1" x14ac:dyDescent="0.2">
      <c r="A50" s="14"/>
      <c r="B50" s="14"/>
      <c r="C50" s="3" t="s">
        <v>91</v>
      </c>
      <c r="D50" s="16" t="s">
        <v>55</v>
      </c>
      <c r="E50" s="1">
        <v>0</v>
      </c>
      <c r="F50" s="5">
        <v>1000000</v>
      </c>
      <c r="G50" s="34">
        <f t="shared" si="0"/>
        <v>0</v>
      </c>
    </row>
    <row r="51" spans="1:7" ht="18" customHeight="1" x14ac:dyDescent="0.2">
      <c r="A51" s="14"/>
      <c r="B51" s="14"/>
      <c r="C51" s="3" t="s">
        <v>98</v>
      </c>
      <c r="D51" s="16" t="s">
        <v>85</v>
      </c>
      <c r="E51" s="1">
        <v>0</v>
      </c>
      <c r="F51" s="5">
        <v>0</v>
      </c>
      <c r="G51" s="34">
        <f t="shared" si="0"/>
        <v>0</v>
      </c>
    </row>
    <row r="52" spans="1:7" ht="18" customHeight="1" x14ac:dyDescent="0.2">
      <c r="A52" s="14"/>
      <c r="B52" s="14"/>
      <c r="C52" s="3" t="s">
        <v>99</v>
      </c>
      <c r="D52" s="16" t="s">
        <v>89</v>
      </c>
      <c r="E52" s="1">
        <v>0</v>
      </c>
      <c r="F52" s="5">
        <v>0</v>
      </c>
      <c r="G52" s="34">
        <f t="shared" si="0"/>
        <v>0</v>
      </c>
    </row>
    <row r="53" spans="1:7" ht="18" customHeight="1" x14ac:dyDescent="0.2">
      <c r="A53" s="14"/>
      <c r="B53" s="14"/>
      <c r="C53" s="3" t="s">
        <v>100</v>
      </c>
      <c r="D53" s="16" t="s">
        <v>89</v>
      </c>
      <c r="E53" s="1">
        <v>0</v>
      </c>
      <c r="F53" s="5">
        <v>0</v>
      </c>
      <c r="G53" s="34">
        <f t="shared" si="0"/>
        <v>0</v>
      </c>
    </row>
    <row r="54" spans="1:7" ht="18" customHeight="1" x14ac:dyDescent="0.2">
      <c r="A54" s="14"/>
      <c r="B54" s="14"/>
      <c r="C54" s="3" t="s">
        <v>101</v>
      </c>
      <c r="D54" s="16" t="s">
        <v>89</v>
      </c>
      <c r="E54" s="1">
        <v>0</v>
      </c>
      <c r="F54" s="5">
        <v>0</v>
      </c>
      <c r="G54" s="34">
        <f t="shared" si="0"/>
        <v>0</v>
      </c>
    </row>
    <row r="55" spans="1:7" ht="18" customHeight="1" x14ac:dyDescent="0.2">
      <c r="A55" s="14"/>
      <c r="B55" s="14"/>
      <c r="G55" s="34">
        <f t="shared" si="0"/>
        <v>0</v>
      </c>
    </row>
    <row r="56" spans="1:7" ht="18" customHeight="1" x14ac:dyDescent="0.2">
      <c r="A56" s="14"/>
      <c r="B56" s="14"/>
      <c r="C56" s="3" t="s">
        <v>102</v>
      </c>
      <c r="D56" s="16" t="s">
        <v>55</v>
      </c>
      <c r="E56" s="1">
        <v>0</v>
      </c>
      <c r="F56" s="5">
        <v>0</v>
      </c>
      <c r="G56" s="34">
        <f t="shared" si="0"/>
        <v>0</v>
      </c>
    </row>
    <row r="57" spans="1:7" ht="18" customHeight="1" x14ac:dyDescent="0.2">
      <c r="A57" s="14"/>
      <c r="B57" s="14"/>
      <c r="C57" s="3" t="s">
        <v>103</v>
      </c>
      <c r="D57" s="16" t="s">
        <v>55</v>
      </c>
      <c r="E57" s="1">
        <v>0</v>
      </c>
      <c r="F57" s="5">
        <v>0</v>
      </c>
      <c r="G57" s="34">
        <f t="shared" si="0"/>
        <v>0</v>
      </c>
    </row>
    <row r="58" spans="1:7" ht="18" customHeight="1" x14ac:dyDescent="0.2">
      <c r="A58" s="14"/>
      <c r="B58" s="14"/>
      <c r="C58" s="3" t="s">
        <v>104</v>
      </c>
      <c r="D58" s="16" t="s">
        <v>55</v>
      </c>
      <c r="E58" s="1">
        <v>0</v>
      </c>
      <c r="F58" s="5">
        <v>0</v>
      </c>
      <c r="G58" s="34">
        <f t="shared" si="0"/>
        <v>0</v>
      </c>
    </row>
    <row r="59" spans="1:7" ht="18" customHeight="1" x14ac:dyDescent="0.2">
      <c r="A59" s="14"/>
      <c r="B59" s="14"/>
      <c r="C59" s="3" t="s">
        <v>105</v>
      </c>
      <c r="D59" s="16" t="s">
        <v>55</v>
      </c>
      <c r="E59" s="1">
        <v>0</v>
      </c>
      <c r="F59" s="5">
        <v>0</v>
      </c>
      <c r="G59" s="34">
        <f t="shared" si="0"/>
        <v>0</v>
      </c>
    </row>
    <row r="60" spans="1:7" ht="18" customHeight="1" x14ac:dyDescent="0.2">
      <c r="A60" s="14" t="s">
        <v>56</v>
      </c>
      <c r="B60" s="14" t="s">
        <v>52</v>
      </c>
      <c r="C60" s="3" t="s">
        <v>106</v>
      </c>
      <c r="D60" s="16" t="s">
        <v>55</v>
      </c>
      <c r="E60" s="1">
        <v>0</v>
      </c>
      <c r="F60" s="5">
        <v>0</v>
      </c>
      <c r="G60" s="34">
        <f t="shared" si="0"/>
        <v>0</v>
      </c>
    </row>
    <row r="61" spans="1:7" ht="18" customHeight="1" x14ac:dyDescent="0.2">
      <c r="A61" s="14"/>
      <c r="B61" s="14"/>
      <c r="C61" s="3" t="s">
        <v>107</v>
      </c>
      <c r="D61" s="16" t="s">
        <v>55</v>
      </c>
      <c r="E61" s="1">
        <v>0</v>
      </c>
      <c r="F61" s="5">
        <v>0</v>
      </c>
      <c r="G61" s="34">
        <f t="shared" si="0"/>
        <v>0</v>
      </c>
    </row>
    <row r="62" spans="1:7" ht="18" customHeight="1" x14ac:dyDescent="0.2">
      <c r="A62" s="14"/>
      <c r="B62" s="14"/>
    </row>
    <row r="63" spans="1:7" ht="18" customHeight="1" x14ac:dyDescent="0.2">
      <c r="A63" s="8" t="s">
        <v>58</v>
      </c>
      <c r="B63" s="8"/>
      <c r="C63" s="9" t="s">
        <v>108</v>
      </c>
      <c r="D63" s="10"/>
      <c r="E63" s="11"/>
      <c r="F63" s="12"/>
      <c r="G63" s="13">
        <f>+G11+G16</f>
        <v>40066100.5</v>
      </c>
    </row>
    <row r="64" spans="1:7" ht="18" customHeight="1" x14ac:dyDescent="0.2">
      <c r="A64" s="14"/>
      <c r="B64" s="14"/>
    </row>
    <row r="65" spans="1:12" ht="18" customHeight="1" x14ac:dyDescent="0.2">
      <c r="A65" s="8" t="s">
        <v>109</v>
      </c>
      <c r="B65" s="8"/>
      <c r="C65" s="9" t="s">
        <v>110</v>
      </c>
      <c r="D65" s="10"/>
      <c r="E65" s="11"/>
      <c r="F65" s="12"/>
      <c r="G65" s="13">
        <f>+G66</f>
        <v>7211898.0899999999</v>
      </c>
      <c r="H65" s="15">
        <f>+G65/$G$84</f>
        <v>9.5012377988950097E-2</v>
      </c>
    </row>
    <row r="66" spans="1:12" ht="18" customHeight="1" x14ac:dyDescent="0.2">
      <c r="A66" s="14" t="s">
        <v>109</v>
      </c>
      <c r="B66" s="14" t="s">
        <v>52</v>
      </c>
      <c r="C66" s="3" t="s">
        <v>110</v>
      </c>
      <c r="D66" s="16" t="s">
        <v>111</v>
      </c>
      <c r="E66" s="1">
        <v>18</v>
      </c>
      <c r="G66" s="5">
        <f>+(G63*E66/100)</f>
        <v>7211898.0899999999</v>
      </c>
    </row>
    <row r="67" spans="1:12" ht="18" customHeight="1" x14ac:dyDescent="0.2">
      <c r="A67" s="14"/>
      <c r="B67" s="14"/>
    </row>
    <row r="68" spans="1:12" ht="18" customHeight="1" x14ac:dyDescent="0.2">
      <c r="A68" s="8" t="s">
        <v>112</v>
      </c>
      <c r="B68" s="8"/>
      <c r="C68" s="9" t="s">
        <v>113</v>
      </c>
      <c r="D68" s="10"/>
      <c r="E68" s="11"/>
      <c r="F68" s="12"/>
      <c r="G68" s="13">
        <f>+G65+G63</f>
        <v>47277998.590000004</v>
      </c>
      <c r="H68" s="15">
        <f>+G68/$G$84</f>
        <v>0.62285892237200624</v>
      </c>
    </row>
    <row r="69" spans="1:12" ht="18" customHeight="1" x14ac:dyDescent="0.2">
      <c r="A69" s="14"/>
      <c r="B69" s="14"/>
    </row>
    <row r="70" spans="1:12" ht="18" customHeight="1" x14ac:dyDescent="0.2">
      <c r="A70" s="8" t="s">
        <v>114</v>
      </c>
      <c r="B70" s="8"/>
      <c r="C70" s="9" t="s">
        <v>115</v>
      </c>
      <c r="D70" s="10"/>
      <c r="E70" s="11"/>
      <c r="F70" s="12"/>
      <c r="G70" s="13">
        <f>+G71+G72</f>
        <v>14183399.577</v>
      </c>
      <c r="H70" s="15">
        <f>+G70/$G$84</f>
        <v>0.18685767671160186</v>
      </c>
    </row>
    <row r="71" spans="1:12" ht="18" customHeight="1" x14ac:dyDescent="0.2">
      <c r="A71" s="14" t="s">
        <v>114</v>
      </c>
      <c r="B71" s="14" t="s">
        <v>52</v>
      </c>
      <c r="C71" s="3" t="s">
        <v>115</v>
      </c>
      <c r="D71" s="16" t="s">
        <v>111</v>
      </c>
      <c r="E71" s="1">
        <v>30</v>
      </c>
      <c r="F71" s="25"/>
      <c r="G71" s="5">
        <f>+G68*E71/100</f>
        <v>14183399.577</v>
      </c>
    </row>
    <row r="72" spans="1:12" ht="18" customHeight="1" x14ac:dyDescent="0.2">
      <c r="A72" s="14" t="s">
        <v>114</v>
      </c>
      <c r="B72" s="14" t="s">
        <v>56</v>
      </c>
      <c r="C72" s="3" t="s">
        <v>116</v>
      </c>
      <c r="D72" s="16" t="s">
        <v>111</v>
      </c>
      <c r="G72" s="5">
        <f>+G68*E72/100</f>
        <v>0</v>
      </c>
    </row>
    <row r="73" spans="1:12" ht="18" customHeight="1" x14ac:dyDescent="0.2">
      <c r="A73" s="14"/>
      <c r="B73" s="14"/>
    </row>
    <row r="74" spans="1:12" ht="18" customHeight="1" x14ac:dyDescent="0.2">
      <c r="A74" s="8" t="s">
        <v>117</v>
      </c>
      <c r="B74" s="8"/>
      <c r="C74" s="9" t="s">
        <v>118</v>
      </c>
      <c r="D74" s="10"/>
      <c r="E74" s="11"/>
      <c r="F74" s="12"/>
      <c r="G74" s="13">
        <f>+G68+G70</f>
        <v>61461398.167000003</v>
      </c>
    </row>
    <row r="75" spans="1:12" ht="18" customHeight="1" x14ac:dyDescent="0.2">
      <c r="A75" s="14"/>
      <c r="B75" s="14"/>
      <c r="J75" s="56" t="s">
        <v>119</v>
      </c>
      <c r="K75" s="57" t="e">
        <f>G74/'Análisis de precios'!E11+'Análisis de precios'!#REF!</f>
        <v>#REF!</v>
      </c>
      <c r="L75" s="61"/>
    </row>
    <row r="76" spans="1:12" ht="18" customHeight="1" x14ac:dyDescent="0.2">
      <c r="A76" s="8" t="s">
        <v>120</v>
      </c>
      <c r="B76" s="8"/>
      <c r="C76" s="9" t="s">
        <v>121</v>
      </c>
      <c r="D76" s="10"/>
      <c r="E76" s="11"/>
      <c r="F76" s="12"/>
      <c r="G76" s="13">
        <f>+G77+G78</f>
        <v>1536534.9541750001</v>
      </c>
      <c r="H76" s="15">
        <f>+G76/$G$84</f>
        <v>2.0242914977090201E-2</v>
      </c>
    </row>
    <row r="77" spans="1:12" ht="18" customHeight="1" x14ac:dyDescent="0.2">
      <c r="A77" s="14"/>
      <c r="B77" s="14"/>
      <c r="C77" s="3" t="s">
        <v>122</v>
      </c>
      <c r="D77" s="16" t="s">
        <v>111</v>
      </c>
      <c r="E77" s="1">
        <v>2.5</v>
      </c>
      <c r="G77" s="5">
        <f>+G74*E77/100</f>
        <v>1536534.9541750001</v>
      </c>
    </row>
    <row r="78" spans="1:12" ht="18" customHeight="1" x14ac:dyDescent="0.2">
      <c r="A78" s="14"/>
      <c r="B78" s="14"/>
    </row>
    <row r="79" spans="1:12" ht="18" customHeight="1" x14ac:dyDescent="0.2">
      <c r="A79" s="8" t="s">
        <v>120</v>
      </c>
      <c r="B79" s="8"/>
      <c r="C79" s="9" t="s">
        <v>123</v>
      </c>
      <c r="D79" s="10"/>
      <c r="E79" s="11"/>
      <c r="F79" s="12"/>
      <c r="G79" s="13">
        <f>+G74+G76</f>
        <v>62997933.121175006</v>
      </c>
      <c r="H79" s="15">
        <f>+G79/$G$84</f>
        <v>0.82995951406069834</v>
      </c>
      <c r="J79" s="59" t="s">
        <v>119</v>
      </c>
      <c r="K79" s="63">
        <f>G84/'Análisis de precios'!E11</f>
        <v>14458.062237380002</v>
      </c>
    </row>
    <row r="80" spans="1:12" ht="18" customHeight="1" x14ac:dyDescent="0.2">
      <c r="A80" s="14"/>
      <c r="B80" s="14"/>
    </row>
    <row r="81" spans="1:13" ht="18" customHeight="1" thickBot="1" x14ac:dyDescent="0.25">
      <c r="A81" s="8" t="s">
        <v>120</v>
      </c>
      <c r="B81" s="8"/>
      <c r="C81" s="9" t="s">
        <v>121</v>
      </c>
      <c r="D81" s="10"/>
      <c r="E81" s="11"/>
      <c r="F81" s="12"/>
      <c r="G81" s="13">
        <f>+G82</f>
        <v>12906893.61507</v>
      </c>
      <c r="H81" s="15">
        <f>+G81/$G$84</f>
        <v>0.17004048580755768</v>
      </c>
    </row>
    <row r="82" spans="1:13" ht="18" customHeight="1" x14ac:dyDescent="0.2">
      <c r="A82" s="14"/>
      <c r="B82" s="14"/>
      <c r="C82" s="3" t="s">
        <v>124</v>
      </c>
      <c r="D82" s="16" t="s">
        <v>111</v>
      </c>
      <c r="E82" s="1">
        <v>21</v>
      </c>
      <c r="G82" s="5">
        <f>+G74*E82/100</f>
        <v>12906893.61507</v>
      </c>
      <c r="J82" s="90"/>
      <c r="K82" s="91"/>
      <c r="L82" s="91"/>
      <c r="M82" s="92"/>
    </row>
    <row r="83" spans="1:13" ht="18" customHeight="1" x14ac:dyDescent="0.2">
      <c r="A83" s="14"/>
      <c r="B83" s="14"/>
      <c r="J83" s="93"/>
      <c r="K83" s="88" t="s">
        <v>125</v>
      </c>
      <c r="L83" s="89">
        <f>G84/'Análisis de precios'!E11</f>
        <v>14458.062237380002</v>
      </c>
      <c r="M83" s="94"/>
    </row>
    <row r="84" spans="1:13" ht="18" customHeight="1" thickBot="1" x14ac:dyDescent="0.25">
      <c r="A84" s="8" t="s">
        <v>126</v>
      </c>
      <c r="B84" s="8"/>
      <c r="C84" s="9" t="s">
        <v>127</v>
      </c>
      <c r="D84" s="10"/>
      <c r="E84" s="11"/>
      <c r="F84" s="12"/>
      <c r="G84" s="13">
        <f>+G79+G81+0.01</f>
        <v>75904826.746245012</v>
      </c>
      <c r="H84" s="35">
        <f>G84/G11</f>
        <v>2.0654761023419148</v>
      </c>
      <c r="I84" s="35">
        <f>+G84/1.105</f>
        <v>68692150.901579201</v>
      </c>
      <c r="J84" s="95"/>
      <c r="K84" s="96">
        <v>2459</v>
      </c>
      <c r="L84" s="96"/>
      <c r="M84" s="97"/>
    </row>
    <row r="85" spans="1:13" ht="18" customHeight="1" x14ac:dyDescent="0.2">
      <c r="A85" s="14"/>
      <c r="B85" s="14"/>
    </row>
    <row r="86" spans="1:13" ht="18" customHeight="1" x14ac:dyDescent="0.2">
      <c r="A86" s="14"/>
      <c r="B86" s="14"/>
      <c r="F86" s="26"/>
      <c r="G86" s="65"/>
      <c r="I86" s="106"/>
      <c r="J86" s="106"/>
      <c r="K86" s="106"/>
    </row>
    <row r="87" spans="1:13" ht="18" customHeight="1" x14ac:dyDescent="0.2">
      <c r="A87" s="14"/>
      <c r="B87" s="14"/>
      <c r="F87" s="27"/>
      <c r="G87" s="15"/>
      <c r="I87" s="35"/>
    </row>
    <row r="88" spans="1:13" x14ac:dyDescent="0.2">
      <c r="F88" s="26"/>
      <c r="G88" s="15"/>
      <c r="I88" s="35"/>
    </row>
    <row r="89" spans="1:13" x14ac:dyDescent="0.2">
      <c r="F89" s="26"/>
      <c r="G89" s="15"/>
      <c r="I89" s="35"/>
    </row>
    <row r="90" spans="1:13" x14ac:dyDescent="0.2">
      <c r="F90" s="26"/>
      <c r="G90" s="15"/>
      <c r="I90" s="35"/>
    </row>
    <row r="91" spans="1:13" x14ac:dyDescent="0.2">
      <c r="F91" s="26"/>
      <c r="G91" s="15"/>
      <c r="I91" s="35"/>
    </row>
    <row r="92" spans="1:13" x14ac:dyDescent="0.2">
      <c r="F92" s="26"/>
      <c r="G92" s="15"/>
      <c r="I92" s="35"/>
    </row>
    <row r="93" spans="1:13" x14ac:dyDescent="0.2">
      <c r="F93" s="26"/>
      <c r="G93" s="15"/>
      <c r="I93" s="35"/>
    </row>
    <row r="94" spans="1:13" x14ac:dyDescent="0.2">
      <c r="F94" s="26"/>
      <c r="G94" s="15"/>
      <c r="I94" s="35"/>
    </row>
    <row r="95" spans="1:13" x14ac:dyDescent="0.2">
      <c r="F95" s="26"/>
      <c r="G95" s="15"/>
    </row>
    <row r="96" spans="1:13" x14ac:dyDescent="0.2">
      <c r="F96" s="26"/>
      <c r="G96" s="15"/>
    </row>
  </sheetData>
  <mergeCells count="1">
    <mergeCell ref="I86:K8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B29C-4628-4F61-A530-EB58DC71F5A6}">
  <dimension ref="A1:G37"/>
  <sheetViews>
    <sheetView topLeftCell="A18" workbookViewId="0">
      <selection activeCell="E34" sqref="E34"/>
    </sheetView>
  </sheetViews>
  <sheetFormatPr baseColWidth="10" defaultColWidth="12" defaultRowHeight="10.199999999999999" x14ac:dyDescent="0.2"/>
  <cols>
    <col min="1" max="2" width="12.85546875" customWidth="1"/>
    <col min="3" max="3" width="66.7109375" customWidth="1"/>
    <col min="4" max="4" width="12.85546875" style="23" customWidth="1"/>
    <col min="5" max="5" width="12.85546875" style="24" customWidth="1"/>
    <col min="6" max="6" width="15.85546875" style="18" customWidth="1"/>
    <col min="7" max="7" width="18.85546875" style="17" customWidth="1"/>
  </cols>
  <sheetData>
    <row r="1" spans="1:7" s="15" customFormat="1" ht="44.25" customHeight="1" x14ac:dyDescent="0.2">
      <c r="A1" s="19"/>
      <c r="C1" s="62"/>
      <c r="D1" s="1"/>
      <c r="E1" s="1"/>
      <c r="F1" s="7"/>
      <c r="G1" s="5"/>
    </row>
    <row r="2" spans="1:7" s="15" customFormat="1" ht="12" x14ac:dyDescent="0.2">
      <c r="A2" s="21"/>
      <c r="C2" s="36"/>
      <c r="D2" s="1"/>
      <c r="E2" s="1"/>
      <c r="F2" s="7"/>
      <c r="G2" s="5"/>
    </row>
    <row r="3" spans="1:7" s="15" customFormat="1" x14ac:dyDescent="0.2">
      <c r="D3" s="16"/>
      <c r="E3" s="1"/>
      <c r="F3" s="5"/>
      <c r="G3" s="7"/>
    </row>
    <row r="4" spans="1:7" s="15" customFormat="1" x14ac:dyDescent="0.2">
      <c r="A4" s="15" t="s">
        <v>0</v>
      </c>
      <c r="B4" s="15" t="s">
        <v>1</v>
      </c>
      <c r="D4" s="16"/>
      <c r="E4" s="1"/>
      <c r="F4" s="5"/>
      <c r="G4" s="7"/>
    </row>
    <row r="5" spans="1:7" s="15" customFormat="1" x14ac:dyDescent="0.2">
      <c r="A5" s="15" t="s">
        <v>2</v>
      </c>
      <c r="B5" t="s">
        <v>3</v>
      </c>
      <c r="D5" s="16"/>
      <c r="E5" s="1"/>
      <c r="F5" s="5"/>
      <c r="G5" s="7"/>
    </row>
    <row r="6" spans="1:7" s="15" customFormat="1" x14ac:dyDescent="0.2">
      <c r="A6" s="15" t="s">
        <v>4</v>
      </c>
      <c r="B6" s="28">
        <v>45910</v>
      </c>
      <c r="D6" s="16"/>
      <c r="E6" s="1"/>
      <c r="F6" s="5"/>
      <c r="G6" s="7"/>
    </row>
    <row r="7" spans="1:7" s="15" customFormat="1" x14ac:dyDescent="0.2">
      <c r="A7" s="15" t="s">
        <v>5</v>
      </c>
      <c r="B7" s="15" t="s">
        <v>6</v>
      </c>
      <c r="C7" s="3"/>
      <c r="D7" s="16"/>
      <c r="E7" s="1"/>
      <c r="F7" s="5"/>
      <c r="G7" s="7"/>
    </row>
    <row r="8" spans="1:7" s="39" customFormat="1" ht="18" customHeight="1" x14ac:dyDescent="0.2">
      <c r="A8" s="15" t="s">
        <v>7</v>
      </c>
      <c r="B8" s="15"/>
      <c r="C8" s="15"/>
      <c r="D8" s="36"/>
      <c r="E8" s="37"/>
      <c r="F8" s="34"/>
      <c r="G8" s="34"/>
    </row>
    <row r="9" spans="1:7" s="15" customFormat="1" x14ac:dyDescent="0.2">
      <c r="C9" s="3"/>
      <c r="D9" s="16"/>
      <c r="E9" s="1"/>
      <c r="F9" s="5"/>
      <c r="G9" s="7"/>
    </row>
    <row r="10" spans="1:7" s="38" customFormat="1" ht="26.25" customHeight="1" x14ac:dyDescent="0.2">
      <c r="A10" s="71" t="s">
        <v>8</v>
      </c>
      <c r="B10" s="71" t="s">
        <v>9</v>
      </c>
      <c r="C10" s="72" t="s">
        <v>10</v>
      </c>
      <c r="D10" s="73" t="s">
        <v>11</v>
      </c>
      <c r="E10" s="74" t="s">
        <v>12</v>
      </c>
      <c r="F10" s="75" t="s">
        <v>13</v>
      </c>
      <c r="G10" s="75" t="s">
        <v>14</v>
      </c>
    </row>
    <row r="11" spans="1:7" s="29" customFormat="1" ht="50.25" customHeight="1" x14ac:dyDescent="0.2">
      <c r="A11" s="98"/>
      <c r="B11" s="99" t="s">
        <v>21</v>
      </c>
      <c r="C11" s="100" t="s">
        <v>22</v>
      </c>
      <c r="D11" s="101" t="s">
        <v>23</v>
      </c>
      <c r="E11" s="102">
        <v>4860</v>
      </c>
      <c r="F11" s="103">
        <f>'Análisis de precios'!G11*Cascada!H84</f>
        <v>14465.340581740635</v>
      </c>
      <c r="G11" s="103">
        <f>F11*E11</f>
        <v>70301555.227259487</v>
      </c>
    </row>
    <row r="12" spans="1:7" ht="18" customHeight="1" x14ac:dyDescent="0.2">
      <c r="F12" s="81" t="s">
        <v>128</v>
      </c>
      <c r="G12" s="82">
        <f>SUM(G11:G11)</f>
        <v>70301555.227259487</v>
      </c>
    </row>
    <row r="13" spans="1:7" ht="18" customHeight="1" x14ac:dyDescent="0.2">
      <c r="A13" s="83" t="s">
        <v>129</v>
      </c>
    </row>
    <row r="14" spans="1:7" ht="18" customHeight="1" x14ac:dyDescent="0.2">
      <c r="A14" s="84" t="s">
        <v>130</v>
      </c>
    </row>
    <row r="15" spans="1:7" ht="18" customHeight="1" x14ac:dyDescent="0.2">
      <c r="A15" s="85" t="s">
        <v>131</v>
      </c>
    </row>
    <row r="16" spans="1:7" ht="18" customHeight="1" x14ac:dyDescent="0.2">
      <c r="A16" s="86" t="s">
        <v>132</v>
      </c>
    </row>
    <row r="17" spans="1:1" ht="18" customHeight="1" x14ac:dyDescent="0.2">
      <c r="A17" s="86" t="s">
        <v>133</v>
      </c>
    </row>
    <row r="18" spans="1:1" ht="18" customHeight="1" x14ac:dyDescent="0.2">
      <c r="A18" s="85" t="s">
        <v>134</v>
      </c>
    </row>
    <row r="19" spans="1:1" ht="18" customHeight="1" x14ac:dyDescent="0.2">
      <c r="A19" s="86" t="s">
        <v>135</v>
      </c>
    </row>
    <row r="20" spans="1:1" ht="18" customHeight="1" x14ac:dyDescent="0.2">
      <c r="A20" s="85" t="s">
        <v>136</v>
      </c>
    </row>
    <row r="21" spans="1:1" ht="18" customHeight="1" x14ac:dyDescent="0.2">
      <c r="A21" s="86" t="s">
        <v>137</v>
      </c>
    </row>
    <row r="22" spans="1:1" ht="18" customHeight="1" x14ac:dyDescent="0.2">
      <c r="A22" s="85" t="s">
        <v>138</v>
      </c>
    </row>
    <row r="23" spans="1:1" ht="18" customHeight="1" x14ac:dyDescent="0.2">
      <c r="A23" s="86" t="s">
        <v>139</v>
      </c>
    </row>
    <row r="24" spans="1:1" ht="18" customHeight="1" x14ac:dyDescent="0.2">
      <c r="A24" s="85" t="s">
        <v>140</v>
      </c>
    </row>
    <row r="25" spans="1:1" ht="18" customHeight="1" x14ac:dyDescent="0.2">
      <c r="A25" s="86" t="s">
        <v>141</v>
      </c>
    </row>
    <row r="26" spans="1:1" ht="18" customHeight="1" x14ac:dyDescent="0.2">
      <c r="A26" s="85" t="s">
        <v>142</v>
      </c>
    </row>
    <row r="27" spans="1:1" ht="18" customHeight="1" x14ac:dyDescent="0.2">
      <c r="A27" s="86" t="s">
        <v>143</v>
      </c>
    </row>
    <row r="28" spans="1:1" ht="18" customHeight="1" x14ac:dyDescent="0.2">
      <c r="A28" s="86" t="s">
        <v>144</v>
      </c>
    </row>
    <row r="29" spans="1:1" ht="18" customHeight="1" x14ac:dyDescent="0.2">
      <c r="A29" s="30" t="s">
        <v>145</v>
      </c>
    </row>
    <row r="30" spans="1:1" ht="18" customHeight="1" x14ac:dyDescent="0.2">
      <c r="A30" s="30" t="s">
        <v>146</v>
      </c>
    </row>
    <row r="31" spans="1:1" ht="17.399999999999999" x14ac:dyDescent="0.2">
      <c r="A31" s="85" t="s">
        <v>147</v>
      </c>
    </row>
    <row r="32" spans="1:1" x14ac:dyDescent="0.2">
      <c r="A32" s="86" t="s">
        <v>148</v>
      </c>
    </row>
    <row r="33" spans="1:1" ht="17.399999999999999" x14ac:dyDescent="0.2">
      <c r="A33" s="85" t="s">
        <v>149</v>
      </c>
    </row>
    <row r="34" spans="1:1" x14ac:dyDescent="0.2">
      <c r="A34" s="87" t="s">
        <v>150</v>
      </c>
    </row>
    <row r="35" spans="1:1" x14ac:dyDescent="0.2">
      <c r="A35" s="87" t="s">
        <v>151</v>
      </c>
    </row>
    <row r="36" spans="1:1" ht="18" customHeight="1" x14ac:dyDescent="0.2"/>
    <row r="37" spans="1:1" ht="18" customHeight="1" x14ac:dyDescent="0.2"/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0F72-4306-4BA2-8EAD-1D168EBF191C}">
  <dimension ref="A1:K39"/>
  <sheetViews>
    <sheetView topLeftCell="A6" workbookViewId="0">
      <selection activeCell="A13" sqref="A13:XFD39"/>
    </sheetView>
  </sheetViews>
  <sheetFormatPr baseColWidth="10" defaultColWidth="12" defaultRowHeight="10.199999999999999" x14ac:dyDescent="0.2"/>
  <cols>
    <col min="1" max="2" width="12.85546875" customWidth="1"/>
    <col min="3" max="3" width="66.7109375" customWidth="1"/>
    <col min="4" max="4" width="12.85546875" style="23" customWidth="1"/>
    <col min="5" max="5" width="12.85546875" style="24" customWidth="1"/>
  </cols>
  <sheetData>
    <row r="1" spans="1:11" s="15" customFormat="1" ht="44.25" customHeight="1" x14ac:dyDescent="0.2">
      <c r="A1" s="19"/>
      <c r="C1" s="62"/>
      <c r="D1" s="1"/>
      <c r="E1" s="1"/>
    </row>
    <row r="2" spans="1:11" s="15" customFormat="1" ht="12" x14ac:dyDescent="0.2">
      <c r="A2" s="21"/>
      <c r="C2" s="36"/>
      <c r="D2" s="1"/>
      <c r="E2" s="1"/>
    </row>
    <row r="3" spans="1:11" s="15" customFormat="1" x14ac:dyDescent="0.2">
      <c r="D3" s="16"/>
      <c r="E3" s="1"/>
    </row>
    <row r="4" spans="1:11" s="15" customFormat="1" x14ac:dyDescent="0.2">
      <c r="A4" s="15" t="s">
        <v>0</v>
      </c>
      <c r="B4" s="15" t="s">
        <v>45</v>
      </c>
      <c r="D4" s="16"/>
      <c r="E4" s="1"/>
    </row>
    <row r="5" spans="1:11" s="15" customFormat="1" x14ac:dyDescent="0.2">
      <c r="A5" s="15" t="s">
        <v>2</v>
      </c>
      <c r="B5" t="s">
        <v>152</v>
      </c>
      <c r="D5" s="16"/>
      <c r="E5" s="1"/>
    </row>
    <row r="6" spans="1:11" s="15" customFormat="1" x14ac:dyDescent="0.2">
      <c r="A6" s="15" t="s">
        <v>4</v>
      </c>
      <c r="B6" s="28">
        <v>45929</v>
      </c>
      <c r="D6" s="16"/>
      <c r="E6" s="1"/>
    </row>
    <row r="7" spans="1:11" s="15" customFormat="1" x14ac:dyDescent="0.2">
      <c r="A7" s="15" t="s">
        <v>5</v>
      </c>
      <c r="B7" s="15" t="s">
        <v>47</v>
      </c>
      <c r="C7" s="3"/>
      <c r="D7" s="16"/>
      <c r="E7" s="1"/>
    </row>
    <row r="8" spans="1:11" s="39" customFormat="1" ht="18" customHeight="1" x14ac:dyDescent="0.2">
      <c r="A8" s="15" t="s">
        <v>7</v>
      </c>
      <c r="B8" s="15"/>
      <c r="C8" s="15"/>
      <c r="D8" s="36"/>
      <c r="E8" s="37"/>
    </row>
    <row r="9" spans="1:11" s="15" customFormat="1" x14ac:dyDescent="0.2">
      <c r="C9" s="3"/>
      <c r="D9" s="16"/>
      <c r="E9" s="1"/>
    </row>
    <row r="10" spans="1:11" s="38" customFormat="1" ht="26.25" customHeight="1" x14ac:dyDescent="0.2">
      <c r="A10" s="71" t="s">
        <v>8</v>
      </c>
      <c r="B10" s="71" t="s">
        <v>9</v>
      </c>
      <c r="C10" s="72" t="s">
        <v>10</v>
      </c>
      <c r="D10" s="73" t="s">
        <v>11</v>
      </c>
      <c r="E10" s="74" t="s">
        <v>12</v>
      </c>
      <c r="F10" s="107" t="s">
        <v>153</v>
      </c>
      <c r="G10" s="108"/>
      <c r="H10" s="108"/>
      <c r="I10" s="108"/>
      <c r="J10" s="108"/>
      <c r="K10" s="108"/>
    </row>
    <row r="11" spans="1:11" s="29" customFormat="1" ht="50.25" customHeight="1" x14ac:dyDescent="0.2">
      <c r="A11" s="98"/>
      <c r="B11" s="99" t="s">
        <v>21</v>
      </c>
      <c r="C11" s="100" t="s">
        <v>22</v>
      </c>
      <c r="D11" s="101" t="s">
        <v>23</v>
      </c>
      <c r="E11" s="102">
        <v>2459</v>
      </c>
      <c r="F11" s="109"/>
      <c r="G11" s="108"/>
      <c r="H11" s="108"/>
      <c r="I11" s="108"/>
      <c r="J11" s="108"/>
      <c r="K11" s="108"/>
    </row>
    <row r="12" spans="1:11" ht="18" customHeight="1" x14ac:dyDescent="0.2"/>
    <row r="13" spans="1:11" ht="18" customHeight="1" x14ac:dyDescent="0.2">
      <c r="A13" s="83" t="s">
        <v>129</v>
      </c>
      <c r="F13" s="18"/>
      <c r="G13" s="17"/>
    </row>
    <row r="14" spans="1:11" ht="18" customHeight="1" x14ac:dyDescent="0.2">
      <c r="A14" s="84" t="s">
        <v>130</v>
      </c>
      <c r="F14" s="18"/>
      <c r="G14" s="17"/>
    </row>
    <row r="15" spans="1:11" ht="18" customHeight="1" x14ac:dyDescent="0.2">
      <c r="A15" s="85" t="s">
        <v>131</v>
      </c>
      <c r="F15" s="18"/>
      <c r="G15" s="17"/>
    </row>
    <row r="16" spans="1:11" ht="18" customHeight="1" x14ac:dyDescent="0.2">
      <c r="A16" s="86" t="s">
        <v>132</v>
      </c>
      <c r="F16" s="18"/>
      <c r="G16" s="17"/>
    </row>
    <row r="17" spans="1:7" ht="18" customHeight="1" x14ac:dyDescent="0.2">
      <c r="A17" s="86" t="s">
        <v>133</v>
      </c>
      <c r="F17" s="18"/>
      <c r="G17" s="17"/>
    </row>
    <row r="18" spans="1:7" ht="18" customHeight="1" x14ac:dyDescent="0.2">
      <c r="A18" s="85" t="s">
        <v>134</v>
      </c>
      <c r="F18" s="18"/>
      <c r="G18" s="17"/>
    </row>
    <row r="19" spans="1:7" ht="18" customHeight="1" x14ac:dyDescent="0.2">
      <c r="A19" s="86" t="s">
        <v>135</v>
      </c>
      <c r="F19" s="18"/>
      <c r="G19" s="17"/>
    </row>
    <row r="20" spans="1:7" ht="18" customHeight="1" x14ac:dyDescent="0.2">
      <c r="A20" s="85" t="s">
        <v>136</v>
      </c>
      <c r="F20" s="18"/>
      <c r="G20" s="17"/>
    </row>
    <row r="21" spans="1:7" ht="18" customHeight="1" x14ac:dyDescent="0.2">
      <c r="A21" s="86" t="s">
        <v>137</v>
      </c>
      <c r="F21" s="18"/>
      <c r="G21" s="17"/>
    </row>
    <row r="22" spans="1:7" ht="18" customHeight="1" x14ac:dyDescent="0.2">
      <c r="A22" s="85" t="s">
        <v>138</v>
      </c>
      <c r="F22" s="18"/>
      <c r="G22" s="17"/>
    </row>
    <row r="23" spans="1:7" ht="18" customHeight="1" x14ac:dyDescent="0.2">
      <c r="A23" s="86" t="s">
        <v>139</v>
      </c>
      <c r="F23" s="18"/>
      <c r="G23" s="17"/>
    </row>
    <row r="24" spans="1:7" ht="18" customHeight="1" x14ac:dyDescent="0.2">
      <c r="A24" s="85" t="s">
        <v>140</v>
      </c>
      <c r="F24" s="18"/>
      <c r="G24" s="17"/>
    </row>
    <row r="25" spans="1:7" ht="18" customHeight="1" x14ac:dyDescent="0.2">
      <c r="A25" s="86" t="s">
        <v>141</v>
      </c>
      <c r="F25" s="18"/>
      <c r="G25" s="17"/>
    </row>
    <row r="26" spans="1:7" ht="18" customHeight="1" x14ac:dyDescent="0.2">
      <c r="A26" s="85" t="s">
        <v>142</v>
      </c>
      <c r="F26" s="18"/>
      <c r="G26" s="17"/>
    </row>
    <row r="27" spans="1:7" ht="18" customHeight="1" x14ac:dyDescent="0.2">
      <c r="A27" s="86" t="s">
        <v>143</v>
      </c>
      <c r="F27" s="18"/>
      <c r="G27" s="17"/>
    </row>
    <row r="28" spans="1:7" ht="18" customHeight="1" x14ac:dyDescent="0.2">
      <c r="A28" s="86" t="s">
        <v>144</v>
      </c>
      <c r="F28" s="18"/>
      <c r="G28" s="17"/>
    </row>
    <row r="29" spans="1:7" ht="18" customHeight="1" x14ac:dyDescent="0.2">
      <c r="A29" s="30" t="s">
        <v>145</v>
      </c>
      <c r="F29" s="18"/>
      <c r="G29" s="17"/>
    </row>
    <row r="30" spans="1:7" ht="18" customHeight="1" x14ac:dyDescent="0.2">
      <c r="A30" s="30" t="s">
        <v>146</v>
      </c>
      <c r="F30" s="18"/>
      <c r="G30" s="17"/>
    </row>
    <row r="31" spans="1:7" ht="17.399999999999999" x14ac:dyDescent="0.2">
      <c r="A31" s="85" t="s">
        <v>147</v>
      </c>
      <c r="F31" s="18"/>
      <c r="G31" s="17"/>
    </row>
    <row r="32" spans="1:7" x14ac:dyDescent="0.2">
      <c r="A32" s="86" t="s">
        <v>148</v>
      </c>
      <c r="F32" s="18"/>
      <c r="G32" s="17"/>
    </row>
    <row r="33" spans="1:7" ht="17.399999999999999" x14ac:dyDescent="0.2">
      <c r="A33" s="85" t="s">
        <v>149</v>
      </c>
      <c r="F33" s="18"/>
      <c r="G33" s="17"/>
    </row>
    <row r="34" spans="1:7" x14ac:dyDescent="0.2">
      <c r="A34" s="87" t="s">
        <v>150</v>
      </c>
      <c r="F34" s="18"/>
      <c r="G34" s="17"/>
    </row>
    <row r="35" spans="1:7" x14ac:dyDescent="0.2">
      <c r="A35" s="87" t="s">
        <v>151</v>
      </c>
      <c r="F35" s="18"/>
      <c r="G35" s="17"/>
    </row>
    <row r="36" spans="1:7" ht="17.399999999999999" x14ac:dyDescent="0.2">
      <c r="A36" s="85" t="s">
        <v>154</v>
      </c>
      <c r="F36" s="18"/>
      <c r="G36" s="17"/>
    </row>
    <row r="37" spans="1:7" x14ac:dyDescent="0.2">
      <c r="A37" s="87" t="s">
        <v>155</v>
      </c>
      <c r="F37" s="18"/>
      <c r="G37" s="17"/>
    </row>
    <row r="38" spans="1:7" x14ac:dyDescent="0.2">
      <c r="A38" s="86" t="s">
        <v>156</v>
      </c>
      <c r="F38" s="18"/>
      <c r="G38" s="17"/>
    </row>
    <row r="39" spans="1:7" x14ac:dyDescent="0.2">
      <c r="A39" s="86" t="s">
        <v>157</v>
      </c>
      <c r="F39" s="18"/>
      <c r="G39" s="17"/>
    </row>
  </sheetData>
  <mergeCells count="1">
    <mergeCell ref="F10:K1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53"/>
  <sheetViews>
    <sheetView topLeftCell="A3" workbookViewId="0">
      <selection activeCell="C21" sqref="C21:D21"/>
    </sheetView>
  </sheetViews>
  <sheetFormatPr baseColWidth="10" defaultColWidth="12" defaultRowHeight="10.199999999999999" x14ac:dyDescent="0.2"/>
  <cols>
    <col min="1" max="2" width="12.85546875" customWidth="1"/>
    <col min="3" max="3" width="66.7109375" customWidth="1"/>
    <col min="4" max="4" width="12.85546875" style="23" customWidth="1"/>
    <col min="5" max="5" width="12.85546875" style="24" customWidth="1"/>
    <col min="6" max="6" width="12.85546875" style="18" customWidth="1"/>
    <col min="7" max="7" width="15.85546875" style="18" customWidth="1"/>
  </cols>
  <sheetData>
    <row r="1" spans="1:7" s="15" customFormat="1" ht="44.25" customHeight="1" x14ac:dyDescent="0.2">
      <c r="A1" s="19"/>
      <c r="C1" s="62"/>
      <c r="D1" s="1"/>
      <c r="E1" s="1"/>
      <c r="F1" s="7"/>
      <c r="G1" s="7"/>
    </row>
    <row r="2" spans="1:7" s="15" customFormat="1" ht="12" x14ac:dyDescent="0.2">
      <c r="A2" s="21"/>
      <c r="C2" s="36"/>
      <c r="D2" s="1"/>
      <c r="E2" s="1"/>
      <c r="F2" s="7"/>
      <c r="G2" s="7"/>
    </row>
    <row r="3" spans="1:7" s="15" customFormat="1" x14ac:dyDescent="0.2">
      <c r="D3" s="16"/>
      <c r="E3" s="1"/>
      <c r="F3" s="5"/>
      <c r="G3" s="5"/>
    </row>
    <row r="4" spans="1:7" s="15" customFormat="1" x14ac:dyDescent="0.2">
      <c r="A4" s="15" t="s">
        <v>0</v>
      </c>
      <c r="B4" s="15" t="s">
        <v>1</v>
      </c>
      <c r="D4" s="16"/>
      <c r="E4" s="1"/>
      <c r="F4" s="5"/>
      <c r="G4" s="5"/>
    </row>
    <row r="5" spans="1:7" s="15" customFormat="1" x14ac:dyDescent="0.2">
      <c r="A5" s="15" t="s">
        <v>2</v>
      </c>
      <c r="B5" t="s">
        <v>3</v>
      </c>
      <c r="D5" s="16"/>
      <c r="E5" s="1"/>
      <c r="F5" s="5"/>
      <c r="G5" s="5"/>
    </row>
    <row r="6" spans="1:7" s="15" customFormat="1" x14ac:dyDescent="0.2">
      <c r="A6" s="15" t="s">
        <v>4</v>
      </c>
      <c r="B6" s="28">
        <v>45910</v>
      </c>
      <c r="D6" s="16"/>
      <c r="E6" s="1"/>
      <c r="F6" s="5"/>
      <c r="G6" s="5"/>
    </row>
    <row r="7" spans="1:7" s="15" customFormat="1" x14ac:dyDescent="0.2">
      <c r="A7" s="15" t="s">
        <v>5</v>
      </c>
      <c r="B7" s="15" t="s">
        <v>6</v>
      </c>
      <c r="C7" s="3"/>
      <c r="D7" s="16"/>
      <c r="E7" s="1"/>
      <c r="F7" s="5"/>
      <c r="G7" s="5"/>
    </row>
    <row r="8" spans="1:7" s="39" customFormat="1" ht="18" customHeight="1" x14ac:dyDescent="0.2">
      <c r="A8" s="15" t="s">
        <v>7</v>
      </c>
      <c r="B8" s="15"/>
      <c r="C8" s="15"/>
      <c r="D8" s="36"/>
      <c r="E8" s="37"/>
      <c r="F8" s="34"/>
      <c r="G8" s="34"/>
    </row>
    <row r="9" spans="1:7" s="15" customFormat="1" x14ac:dyDescent="0.2">
      <c r="C9" s="3"/>
      <c r="D9" s="16"/>
      <c r="E9" s="1"/>
      <c r="F9" s="5"/>
      <c r="G9" s="5"/>
    </row>
    <row r="10" spans="1:7" s="38" customFormat="1" ht="26.25" customHeight="1" x14ac:dyDescent="0.2">
      <c r="A10" s="71" t="s">
        <v>8</v>
      </c>
      <c r="B10" s="71" t="s">
        <v>9</v>
      </c>
      <c r="C10" s="72" t="s">
        <v>10</v>
      </c>
      <c r="D10" s="73" t="s">
        <v>11</v>
      </c>
      <c r="E10" s="74" t="s">
        <v>12</v>
      </c>
      <c r="F10" s="75"/>
      <c r="G10" s="75" t="s">
        <v>13</v>
      </c>
    </row>
    <row r="11" spans="1:7" s="39" customFormat="1" ht="18" customHeight="1" x14ac:dyDescent="0.2">
      <c r="A11" s="58" t="s">
        <v>27</v>
      </c>
      <c r="B11" s="76"/>
      <c r="C11" s="77" t="s">
        <v>28</v>
      </c>
      <c r="D11" s="78" t="s">
        <v>29</v>
      </c>
      <c r="E11" s="79">
        <f ca="1">SUMIF('Análisis de precios'!C10:P21,C11,'Análisis de precios'!N10:$N$21)</f>
        <v>1732.5</v>
      </c>
      <c r="F11" s="80">
        <v>6601.61</v>
      </c>
      <c r="G11" s="80">
        <f ca="1">+E11*F11</f>
        <v>11437289.324999999</v>
      </c>
    </row>
    <row r="12" spans="1:7" s="39" customFormat="1" ht="18" customHeight="1" x14ac:dyDescent="0.2">
      <c r="A12" s="58" t="s">
        <v>27</v>
      </c>
      <c r="B12" s="76"/>
      <c r="C12" s="77" t="s">
        <v>30</v>
      </c>
      <c r="D12" s="78" t="s">
        <v>29</v>
      </c>
      <c r="E12" s="79">
        <f ca="1">SUMIF('Análisis de precios'!C11:P23,C12,'Análisis de precios'!N11:$N$21)</f>
        <v>787.5</v>
      </c>
      <c r="F12" s="80">
        <v>5000</v>
      </c>
      <c r="G12" s="80">
        <f ca="1">+E12*F12</f>
        <v>3937500</v>
      </c>
    </row>
    <row r="13" spans="1:7" s="39" customFormat="1" ht="18" customHeight="1" x14ac:dyDescent="0.2">
      <c r="A13" s="58" t="s">
        <v>31</v>
      </c>
      <c r="B13" s="77">
        <v>110041</v>
      </c>
      <c r="C13" s="77" t="s">
        <v>32</v>
      </c>
      <c r="D13" s="78" t="s">
        <v>33</v>
      </c>
      <c r="E13" s="79">
        <f ca="1">SUMIF('Análisis de precios'!C12:P24,C13,'Análisis de precios'!N12:$N$21)</f>
        <v>80</v>
      </c>
      <c r="F13" s="80">
        <v>900</v>
      </c>
      <c r="G13" s="80">
        <f t="shared" ref="G13:G21" ca="1" si="0">+E13*F13</f>
        <v>72000</v>
      </c>
    </row>
    <row r="14" spans="1:7" s="39" customFormat="1" ht="18" customHeight="1" x14ac:dyDescent="0.2">
      <c r="A14" s="58" t="s">
        <v>31</v>
      </c>
      <c r="B14" s="77">
        <v>110240</v>
      </c>
      <c r="C14" s="77" t="s">
        <v>34</v>
      </c>
      <c r="D14" s="78" t="s">
        <v>33</v>
      </c>
      <c r="E14" s="79">
        <f ca="1">SUMIF('Análisis de precios'!C13:P25,C14,'Análisis de precios'!N13:$N$21)</f>
        <v>40</v>
      </c>
      <c r="F14" s="80">
        <v>1000</v>
      </c>
      <c r="G14" s="80">
        <f t="shared" ca="1" si="0"/>
        <v>40000</v>
      </c>
    </row>
    <row r="15" spans="1:7" s="39" customFormat="1" ht="18" customHeight="1" x14ac:dyDescent="0.2">
      <c r="A15" s="58" t="s">
        <v>31</v>
      </c>
      <c r="B15" s="77">
        <v>110020</v>
      </c>
      <c r="C15" s="77" t="s">
        <v>35</v>
      </c>
      <c r="D15" s="78" t="s">
        <v>36</v>
      </c>
      <c r="E15" s="79">
        <f ca="1">SUMIF('Análisis de precios'!C14:P26,C15,'Análisis de precios'!N14:$N$21)</f>
        <v>525</v>
      </c>
      <c r="F15" s="80">
        <v>3000</v>
      </c>
      <c r="G15" s="80">
        <f t="shared" ca="1" si="0"/>
        <v>1575000</v>
      </c>
    </row>
    <row r="16" spans="1:7" s="39" customFormat="1" ht="18" customHeight="1" x14ac:dyDescent="0.2">
      <c r="A16" s="58" t="s">
        <v>31</v>
      </c>
      <c r="B16" s="77">
        <v>109031</v>
      </c>
      <c r="C16" s="77" t="s">
        <v>37</v>
      </c>
      <c r="D16" s="78" t="s">
        <v>38</v>
      </c>
      <c r="E16" s="79">
        <f ca="1">SUMIF('Análisis de precios'!C15:P27,C16,'Análisis de precios'!N15:$N$21)</f>
        <v>80</v>
      </c>
      <c r="F16" s="80">
        <v>6900</v>
      </c>
      <c r="G16" s="80">
        <f t="shared" ca="1" si="0"/>
        <v>552000</v>
      </c>
    </row>
    <row r="17" spans="1:7" s="39" customFormat="1" ht="18" customHeight="1" x14ac:dyDescent="0.2">
      <c r="A17" s="58" t="s">
        <v>31</v>
      </c>
      <c r="B17" s="77">
        <v>110314</v>
      </c>
      <c r="C17" s="77" t="s">
        <v>39</v>
      </c>
      <c r="D17" s="78" t="s">
        <v>36</v>
      </c>
      <c r="E17" s="79">
        <f ca="1">SUMIF('Análisis de precios'!C16:P28,C17,'Análisis de precios'!N16:$N$21)</f>
        <v>2100</v>
      </c>
      <c r="F17" s="80">
        <v>6850</v>
      </c>
      <c r="G17" s="80">
        <f t="shared" ca="1" si="0"/>
        <v>14385000</v>
      </c>
    </row>
    <row r="18" spans="1:7" s="39" customFormat="1" ht="18" customHeight="1" x14ac:dyDescent="0.2">
      <c r="A18" s="58" t="s">
        <v>31</v>
      </c>
      <c r="B18" s="77">
        <v>110090</v>
      </c>
      <c r="C18" s="77" t="s">
        <v>40</v>
      </c>
      <c r="D18" s="78" t="s">
        <v>33</v>
      </c>
      <c r="E18" s="79">
        <f ca="1">SUMIF('Análisis de precios'!C17:P29,C18,'Análisis de precios'!N17:$N$21)</f>
        <v>15</v>
      </c>
      <c r="F18" s="80">
        <v>1100</v>
      </c>
      <c r="G18" s="80">
        <f t="shared" ca="1" si="0"/>
        <v>16500</v>
      </c>
    </row>
    <row r="19" spans="1:7" ht="18" customHeight="1" x14ac:dyDescent="0.2">
      <c r="A19" s="58" t="s">
        <v>31</v>
      </c>
      <c r="B19" s="77">
        <v>110062</v>
      </c>
      <c r="C19" s="77" t="s">
        <v>41</v>
      </c>
      <c r="D19" s="104" t="s">
        <v>33</v>
      </c>
      <c r="E19" s="79">
        <f ca="1">SUMIF('Análisis de precios'!C18:P30,C19,'Análisis de precios'!N18:$N$21)</f>
        <v>30</v>
      </c>
      <c r="F19" s="80">
        <v>4500</v>
      </c>
      <c r="G19" s="80">
        <f t="shared" ca="1" si="0"/>
        <v>135000</v>
      </c>
    </row>
    <row r="20" spans="1:7" ht="18" customHeight="1" x14ac:dyDescent="0.2">
      <c r="A20" s="58" t="s">
        <v>31</v>
      </c>
      <c r="B20" s="77">
        <v>110112</v>
      </c>
      <c r="C20" s="77" t="s">
        <v>42</v>
      </c>
      <c r="D20" s="78" t="s">
        <v>43</v>
      </c>
      <c r="E20" s="79">
        <f ca="1">SUMIF('Análisis de precios'!C19:P31,C20,'Análisis de precios'!N19:$N$21)</f>
        <v>25.000000000000004</v>
      </c>
      <c r="F20" s="80">
        <v>13500</v>
      </c>
      <c r="G20" s="80">
        <f t="shared" ca="1" si="0"/>
        <v>337500.00000000006</v>
      </c>
    </row>
    <row r="21" spans="1:7" ht="18" customHeight="1" x14ac:dyDescent="0.2">
      <c r="A21" s="58"/>
      <c r="B21" s="77"/>
      <c r="C21" s="77" t="s">
        <v>159</v>
      </c>
      <c r="D21" s="78" t="s">
        <v>158</v>
      </c>
      <c r="E21" s="79">
        <f ca="1">SUMIF('Análisis de precios'!C20:P32,C21,'Análisis de precios'!N20:$N$21)</f>
        <v>0.5</v>
      </c>
      <c r="F21" s="80">
        <v>37000</v>
      </c>
      <c r="G21" s="80">
        <f t="shared" ca="1" si="0"/>
        <v>18500</v>
      </c>
    </row>
    <row r="22" spans="1:7" ht="18" customHeight="1" x14ac:dyDescent="0.2">
      <c r="F22" s="81" t="s">
        <v>128</v>
      </c>
      <c r="G22" s="81">
        <f ca="1">SUM(G11:G21)</f>
        <v>32506289.324999999</v>
      </c>
    </row>
    <row r="23" spans="1:7" ht="18" customHeight="1" x14ac:dyDescent="0.2"/>
    <row r="24" spans="1:7" ht="18" customHeight="1" x14ac:dyDescent="0.2"/>
    <row r="25" spans="1:7" ht="18" customHeight="1" x14ac:dyDescent="0.2"/>
    <row r="26" spans="1:7" ht="18" customHeight="1" x14ac:dyDescent="0.2"/>
    <row r="27" spans="1:7" ht="18" customHeight="1" x14ac:dyDescent="0.2"/>
    <row r="28" spans="1:7" ht="18" customHeight="1" x14ac:dyDescent="0.2"/>
    <row r="29" spans="1:7" ht="18" customHeight="1" x14ac:dyDescent="0.2"/>
    <row r="30" spans="1:7" ht="18" customHeight="1" x14ac:dyDescent="0.2"/>
    <row r="31" spans="1:7" ht="18" customHeight="1" x14ac:dyDescent="0.2"/>
    <row r="32" spans="1:7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</sheetData>
  <pageMargins left="0.7" right="0.7" top="0.75" bottom="0.75" header="0.3" footer="0.3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3d9627-c9d7-46e7-8017-e32baaff6d78">
      <Terms xmlns="http://schemas.microsoft.com/office/infopath/2007/PartnerControls"/>
    </lcf76f155ced4ddcb4097134ff3c332f>
    <TaxCatchAll xmlns="a5716b0a-2c4e-4acc-bcd6-6466f35c189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1992123F3ED4458D211F3215D79855" ma:contentTypeVersion="12" ma:contentTypeDescription="Crear nuevo documento." ma:contentTypeScope="" ma:versionID="3ec78013fdfe534af527891298d4da4a">
  <xsd:schema xmlns:xsd="http://www.w3.org/2001/XMLSchema" xmlns:xs="http://www.w3.org/2001/XMLSchema" xmlns:p="http://schemas.microsoft.com/office/2006/metadata/properties" xmlns:ns2="403d9627-c9d7-46e7-8017-e32baaff6d78" xmlns:ns3="a5716b0a-2c4e-4acc-bcd6-6466f35c189e" targetNamespace="http://schemas.microsoft.com/office/2006/metadata/properties" ma:root="true" ma:fieldsID="26c75f4f0edf87eb780dae8e1f7fd93c" ns2:_="" ns3:_="">
    <xsd:import namespace="403d9627-c9d7-46e7-8017-e32baaff6d78"/>
    <xsd:import namespace="a5716b0a-2c4e-4acc-bcd6-6466f35c18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d9627-c9d7-46e7-8017-e32baaff6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0202c90-e0a5-4dd3-83f4-bedda3fd8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16b0a-2c4e-4acc-bcd6-6466f35c18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f82eac-4892-4499-97e5-748f0a1032b7}" ma:internalName="TaxCatchAll" ma:showField="CatchAllData" ma:web="a5716b0a-2c4e-4acc-bcd6-6466f35c18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403359-0361-47E8-92DE-7EE45A84A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674F5B-5F44-4C29-9139-45571A7AB602}">
  <ds:schemaRefs>
    <ds:schemaRef ds:uri="http://schemas.microsoft.com/office/2006/metadata/properties"/>
    <ds:schemaRef ds:uri="http://schemas.microsoft.com/office/infopath/2007/PartnerControls"/>
    <ds:schemaRef ds:uri="05c4b2f2-e7fe-472d-91b0-057ba03b10e8"/>
    <ds:schemaRef ds:uri="9a596f3c-466b-4833-ade8-25dba75eaf48"/>
    <ds:schemaRef ds:uri="403d9627-c9d7-46e7-8017-e32baaff6d78"/>
    <ds:schemaRef ds:uri="a5716b0a-2c4e-4acc-bcd6-6466f35c189e"/>
  </ds:schemaRefs>
</ds:datastoreItem>
</file>

<file path=customXml/itemProps3.xml><?xml version="1.0" encoding="utf-8"?>
<ds:datastoreItem xmlns:ds="http://schemas.openxmlformats.org/officeDocument/2006/customXml" ds:itemID="{C0DB12D2-F3D0-4203-BEFF-7224EA9158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d9627-c9d7-46e7-8017-e32baaff6d78"/>
    <ds:schemaRef ds:uri="a5716b0a-2c4e-4acc-bcd6-6466f35c18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Análisis de precios</vt:lpstr>
      <vt:lpstr>Cascada</vt:lpstr>
      <vt:lpstr>Precio</vt:lpstr>
      <vt:lpstr>Programa de trabajo</vt:lpstr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Cristian Acosta</cp:lastModifiedBy>
  <cp:revision/>
  <dcterms:created xsi:type="dcterms:W3CDTF">2016-05-19T21:58:14Z</dcterms:created>
  <dcterms:modified xsi:type="dcterms:W3CDTF">2026-08-21T18:28:39Z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0x0101008B1992123F3ED4458D211F3215D79855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